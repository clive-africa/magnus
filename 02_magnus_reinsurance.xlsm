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ync\git_hub\vba_samplicity\"/>
    </mc:Choice>
  </mc:AlternateContent>
  <xr:revisionPtr revIDLastSave="0" documentId="13_ncr:1_{5C0973F2-AC3F-40D3-88A1-36A0768F6AED}" xr6:coauthVersionLast="47" xr6:coauthVersionMax="47" xr10:uidLastSave="{00000000-0000-0000-0000-000000000000}"/>
  <bookViews>
    <workbookView xWindow="-38565" yWindow="1695" windowWidth="38730" windowHeight="15810" tabRatio="842" activeTab="15" xr2:uid="{D503991A-17E5-4641-ABD0-042CD294AC8C}"/>
  </bookViews>
  <sheets>
    <sheet name="NOTICE" sheetId="70" r:id="rId1"/>
    <sheet name="LICENSE" sheetId="71" r:id="rId2"/>
    <sheet name="Index" sheetId="25" r:id="rId3"/>
    <sheet name="Notes" sheetId="69" r:id="rId4"/>
    <sheet name="Inputs &gt;&gt;&gt;" sheetId="26" r:id="rId5"/>
    <sheet name="prem_res" sheetId="1" r:id="rId6"/>
    <sheet name="reinsurance_setup" sheetId="72" r:id="rId7"/>
    <sheet name="Outputs &gt;&gt;&gt;" sheetId="28" r:id="rId8"/>
    <sheet name="PremRes" sheetId="4" r:id="rId9"/>
    <sheet name="Reinsurance" sheetId="73" r:id="rId10"/>
    <sheet name="Reinsurance Proof &gt;&gt;&gt;" sheetId="74" r:id="rId11"/>
    <sheet name="Reinsurance Calculation" sheetId="75" r:id="rId12"/>
    <sheet name="Summary" sheetId="76" r:id="rId13"/>
    <sheet name="Metadata &gt;&gt;&gt;" sheetId="27" r:id="rId14"/>
    <sheet name="metadata" sheetId="5" r:id="rId15"/>
    <sheet name="functions" sheetId="10" r:id="rId16"/>
  </sheets>
  <functionGroups builtInGroupCount="19"/>
  <definedNames>
    <definedName name="_xlnm._FilterDatabase" localSheetId="5" hidden="1">prem_res!$B$5:$W$45</definedName>
    <definedName name="_xleta.BASE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pm.base" hidden="1" xlm="1">#NAME?</definedName>
    <definedName name="_xlpm.c" hidden="1" xlm="1">#NAME?</definedName>
    <definedName name="_xlpm.c_val" hidden="1" xlm="1">#NAME?</definedName>
    <definedName name="_xlpm.ceded" hidden="1" xlm="1">#NAME?</definedName>
    <definedName name="_xlpm.col" hidden="1" xlm="1">#NAME?</definedName>
    <definedName name="_xlpm.col_idx" hidden="1" xlm="1">#NAME?</definedName>
    <definedName name="_xlpm.cols" hidden="1" xlm="1">#NAME?</definedName>
    <definedName name="_xlpm.con" hidden="1" xlm="1">#NAME?</definedName>
    <definedName name="_xlpm.cont" hidden="1" xlm="1">#NAME?</definedName>
    <definedName name="_xlpm.contract" hidden="1" xlm="1">#NAME?</definedName>
    <definedName name="_xlpm.contracts" hidden="1" xlm="1">#NAME?</definedName>
    <definedName name="_xlpm.cp" hidden="1" xlm="1">#NAME?</definedName>
    <definedName name="_xlpm.d_val" hidden="1" xlm="1">#NAME?</definedName>
    <definedName name="_xlpm.dat" hidden="1" xlm="1">#NAME?</definedName>
    <definedName name="_xlpm.data" hidden="1" xlm="1">#NAME?</definedName>
    <definedName name="_xlpm.filtered" hidden="1" xlm="1">#NAME?</definedName>
    <definedName name="_xlpm.headers" hidden="1" xlm="1">#NAME?</definedName>
    <definedName name="_xlpm.headings" hidden="1" xlm="1">#NAME?</definedName>
    <definedName name="_xlpm.list" hidden="1" xlm="1">#NAME?</definedName>
    <definedName name="_xlpm.loc" hidden="1" xlm="1">#NAME?</definedName>
    <definedName name="_xlpm.mabase" hidden="1" xlm="1">#NAME?</definedName>
    <definedName name="_xlpm.max_base" hidden="1" xlm="1">#NAME?</definedName>
    <definedName name="_xlpm.max_ebase" hidden="1" xlm="1">#NAME?</definedName>
    <definedName name="_xlpm.max_evbase" hidden="1" xlm="1">#NAME?</definedName>
    <definedName name="_xlpm.max_evebase" hidden="1" xlm="1">#NAME?</definedName>
    <definedName name="_xlpm.max_evenbase" hidden="1" xlm="1">#NAME?</definedName>
    <definedName name="_xlpm.max_event" hidden="1" xlm="1">#NAME?</definedName>
    <definedName name="_xlpm.max_eventbase" hidden="1" xlm="1">#NAME?</definedName>
    <definedName name="_xlpm.max_rein" hidden="1" xlm="1">#NAME?</definedName>
    <definedName name="_xlpm.maxbase" hidden="1" xlm="1">#NAME?</definedName>
    <definedName name="_xlpm.mbase" hidden="1" xlm="1">#NAME?</definedName>
    <definedName name="_xlpm.r" hidden="1" xlm="1">#NAME?</definedName>
    <definedName name="_xlpm.recoveries" hidden="1" xlm="1">#NAME?</definedName>
    <definedName name="_xlpm.remain" hidden="1" xlm="1">#NAME?</definedName>
    <definedName name="_xlpm.result" hidden="1" xlm="1">#NAME?</definedName>
    <definedName name="_xlpm.ri" hidden="1" xlm="1">#NAME?</definedName>
    <definedName name="_xlpm.row_idx" hidden="1" xlm="1">#NAME?</definedName>
    <definedName name="_xlpm.rows" hidden="1" xlm="1">#NAME?</definedName>
    <definedName name="_xlpm.sort" hidden="1" xlm="1">#NAME?</definedName>
    <definedName name="_xlpm.sort_" hidden="1" xlm="1">#NAME?</definedName>
    <definedName name="_xlpm.sort_1" hidden="1" xlm="1">#NAME?</definedName>
    <definedName name="_xlpm.sort_2" hidden="1" xlm="1">#NAME?</definedName>
    <definedName name="_xlpm.struc" hidden="1" xlm="1">#NAME?</definedName>
    <definedName name="_xlpm.valid" hidden="1" xlm="1">#NAME?</definedName>
    <definedName name="_xlpm.values" hidden="1" xlm="1">#NAME?</definedName>
    <definedName name="rContract">reinsurance_setup!$B$7:$I$15</definedName>
    <definedName name="rCorrelation">metadata!$B$43:$AO$82</definedName>
    <definedName name="rCounterparty">reinsurance_setup!$K$7:$M$27</definedName>
    <definedName name="rEQCommCorr">metadata!$X$161:$AP$179</definedName>
    <definedName name="rEQContCorr">metadata!$AS$161:$BK$179</definedName>
    <definedName name="rEQCoverCharge">metadata!$J$151:$J$155</definedName>
    <definedName name="rEQCoverCorr">metadata!$C$151:$G$155</definedName>
    <definedName name="rEQEngCorr">metadata!$BN$161:$CF$179</definedName>
    <definedName name="rEQMotorCorr">metadata!$CI$161:$DA$179</definedName>
    <definedName name="rEQResCorr">metadata!$C$161:$U$179</definedName>
    <definedName name="rEQZoneCoverCharge">metadata!$DD$161:$DH$179</definedName>
    <definedName name="rFactorCharges">metadata!$B$19:$E$37</definedName>
    <definedName name="rFactorNPCharges">metadata!$H$19:$K$21</definedName>
    <definedName name="rFunc">functions!$B$6:$L$6</definedName>
    <definedName name="rHailCorr">metadata!$C$187:$U$205</definedName>
    <definedName name="rHailZoneCoverCharge">metadata!$X$187:$Y$205</definedName>
    <definedName name="rNominalShock">metadata!$B$111:$D$143</definedName>
    <definedName name="rPremRes">prem_res!$B$5:$W$45</definedName>
    <definedName name="rProgramme">reinsurance_setup!$O$7:$AI$24</definedName>
    <definedName name="rRealShock">metadata!$F$111:$H$143</definedName>
    <definedName name="rShare">prem_res!$Y$5:$AA$17</definedName>
    <definedName name="rSpread">metadata!$B$87:$I$106</definedName>
    <definedName name="rStdDev">metadata!$AQ$43:$AS$82</definedName>
    <definedName name="rZoneMapping">metadata!$B$210:$C$249</definedName>
  </definedNames>
  <calcPr calcId="191029"/>
  <extLst>
    <ext xmlns:x14="http://schemas.microsoft.com/office/spreadsheetml/2009/9/main" uri="{8193D73E-4604-4355-AFF4-8A2333D13BE4}">
      <x14:definedNames>
        <x14:definedName name="Concentration">
          <x14:argumentDescriptions count="5">
            <x14:argumentDescription index="0">The counterparty data.</x14:argumentDescription>
            <x14:argumentDescription index="1">The mdetailed instrument level market data.</x14:argumentDescription>
            <x14:argumentDescription index="2">The portfolio allocations.</x14:argumentDescription>
            <x14:argumentDescription index="3">The asset mapping table.</x14:argumentDescription>
            <x14:argumentDescription index="4">Optional, the number of levels to include in the calculation.</x14:argumentDescription>
          </x14:argumentDescriptions>
        </x14:definedName>
        <x14:definedName name="FactorNat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FactorNP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NatCatRisk">
          <x14:argumentDescriptions count="7">
            <x14:argumentDescription index="0">The sum insured data.</x14:argumentDescription>
            <x14:argumentDescription index="1">Optional, The zone to use for hail risk when no, or an invalid, postal code is provided.</x14:argumentDescription>
            <x14:argumentDescription index="2">Optional, The zone to use for earthquake risk when no, or an invalid, postal code is provided.</x14:argumentDescription>
            <x14:argumentDescription index="3">Optional, the number of levels to include in the calculation.</x14:argumentDescription>
            <x14:argumentDescription index="4">Optional, the different reinsurance contracts.</x14:argumentDescription>
            <x14:argumentDescription index="5">Optional, details of the reinsurance counterparties.</x14:argumentDescription>
            <x14:argumentDescription index="6">Optional, the reinsurance programme.</x14:argumentDescription>
          </x14:argumentDescriptions>
        </x14:definedName>
        <x14:definedName name="PremRes">
          <x14:argumentDescriptions count="4">
            <x14:argumentDescription index="0">The premium and reserve risk data.</x14:argumentDescription>
            <x14:argumentDescription index="1">The counterparty data, detailing the shares held by each reinsurer.</x14:argumentDescription>
            <x14:argumentDescription index="2">Optional, the number of levels to include in the calculation.</x14:argumentDescription>
            <x14:argumentDescription index="3">Optional, if the data should be return in a normalised fashion.</x14:argumentDescription>
          </x14:argumentDescriptions>
        </x14:definedName>
        <x14:definedName name="SpotCurve">
          <x14:argumentDescriptions count="3">
            <x14:argumentDescription index="0">The valuation date</x14:argumentDescription>
            <x14:argumentDescription index="1">The nominal interest data provided by the PA.</x14:argumentDescription>
            <x14:argumentDescription index="2">The real interest rate data provided by the PA.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  <c r="V26" i="73" a="1"/>
  <c r="V26" i="73" s="1"/>
  <c r="V7" i="73" a="1"/>
  <c r="V7" i="73" s="1"/>
  <c r="E16" i="73"/>
  <c r="D16" i="73"/>
  <c r="C16" i="73"/>
  <c r="V85" i="75"/>
  <c r="U85" i="75"/>
  <c r="V71" i="75"/>
  <c r="U71" i="75"/>
  <c r="V57" i="75"/>
  <c r="U57" i="75"/>
  <c r="K85" i="75"/>
  <c r="J85" i="75"/>
  <c r="K71" i="75"/>
  <c r="J71" i="75"/>
  <c r="K57" i="75"/>
  <c r="J57" i="75"/>
  <c r="K43" i="75"/>
  <c r="J43" i="75"/>
  <c r="D5" i="75"/>
  <c r="D11" i="75" s="1" a="1"/>
  <c r="C124" i="75" a="1"/>
  <c r="C124" i="75" s="1"/>
  <c r="V43" i="75"/>
  <c r="U43" i="75"/>
  <c r="D11" i="75" l="1"/>
  <c r="A1" i="5" l="1" a="1"/>
  <c r="A1" i="5" s="1"/>
  <c r="A1" i="76" a="1"/>
  <c r="A1" i="76" s="1"/>
  <c r="AT85" i="75"/>
  <c r="AS85" i="75"/>
  <c r="E85" i="75"/>
  <c r="D85" i="75"/>
  <c r="AT71" i="75"/>
  <c r="AS71" i="75"/>
  <c r="E71" i="75"/>
  <c r="D71" i="75"/>
  <c r="AT57" i="75"/>
  <c r="AS57" i="75"/>
  <c r="E57" i="75"/>
  <c r="D57" i="75"/>
  <c r="AT43" i="75"/>
  <c r="AS43" i="75"/>
  <c r="E43" i="75"/>
  <c r="D43" i="75"/>
  <c r="D38" i="75"/>
  <c r="D37" i="75"/>
  <c r="AA37" i="75" s="1" a="1"/>
  <c r="D36" i="75"/>
  <c r="C49" i="75" s="1"/>
  <c r="C63" i="75" s="1"/>
  <c r="C77" i="75" s="1"/>
  <c r="C91" i="75" s="1"/>
  <c r="C105" i="75" s="1"/>
  <c r="D35" i="75"/>
  <c r="AA35" i="75" s="1" a="1"/>
  <c r="D34" i="75"/>
  <c r="C47" i="75" s="1"/>
  <c r="C61" i="75" s="1"/>
  <c r="C75" i="75" s="1"/>
  <c r="C89" i="75" s="1"/>
  <c r="C103" i="75" s="1"/>
  <c r="D33" i="75"/>
  <c r="AA33" i="75" s="1" a="1"/>
  <c r="D32" i="75"/>
  <c r="C45" i="75" s="1"/>
  <c r="C59" i="75" s="1"/>
  <c r="C73" i="75" s="1"/>
  <c r="C87" i="75" s="1"/>
  <c r="C101" i="75" s="1"/>
  <c r="D31" i="75"/>
  <c r="D30" i="75"/>
  <c r="H28" i="75"/>
  <c r="H32" i="75" s="1" a="1"/>
  <c r="H32" i="75" s="1"/>
  <c r="G28" i="75"/>
  <c r="G32" i="75" s="1" a="1"/>
  <c r="G32" i="75" s="1"/>
  <c r="F28" i="75"/>
  <c r="F36" i="75" s="1" a="1"/>
  <c r="F36" i="75" s="1"/>
  <c r="E28" i="75"/>
  <c r="E33" i="75" s="1" a="1"/>
  <c r="E33" i="75" s="1"/>
  <c r="H19" i="75"/>
  <c r="G19" i="75"/>
  <c r="F19" i="75"/>
  <c r="E19" i="75"/>
  <c r="D19" i="75"/>
  <c r="F22" i="75"/>
  <c r="E72" i="75" s="1"/>
  <c r="D6" i="75"/>
  <c r="C6" i="76" s="1"/>
  <c r="A1" i="75" a="1"/>
  <c r="A1" i="75" s="1"/>
  <c r="A1" i="74" a="1"/>
  <c r="A1" i="74" s="1"/>
  <c r="A1" i="73" a="1"/>
  <c r="A1" i="73" s="1"/>
  <c r="A1" i="4" a="1"/>
  <c r="A1" i="4" s="1"/>
  <c r="G49" i="1"/>
  <c r="F49" i="1"/>
  <c r="G48" i="1"/>
  <c r="F48" i="1"/>
  <c r="AE7" i="1"/>
  <c r="A1" i="1" a="1"/>
  <c r="A1" i="1" s="1"/>
  <c r="M27" i="72"/>
  <c r="G7" i="73" s="1" a="1"/>
  <c r="G7" i="73" s="1"/>
  <c r="M26" i="72"/>
  <c r="M25" i="72"/>
  <c r="A1" i="72" a="1"/>
  <c r="A1" i="72" s="1"/>
  <c r="A1" i="69" a="1"/>
  <c r="A1" i="69" s="1"/>
  <c r="A1" i="25" a="1"/>
  <c r="A1" i="25" s="1"/>
  <c r="B7" i="4" a="1"/>
  <c r="I7" i="4" a="1"/>
  <c r="AE78" i="75" l="1" a="1"/>
  <c r="AE78" i="75" s="1"/>
  <c r="AA64" i="75" a="1"/>
  <c r="AA64" i="75" s="1"/>
  <c r="AB64" i="75" a="1"/>
  <c r="AB64" i="75" s="1"/>
  <c r="AC64" i="75" a="1"/>
  <c r="AC64" i="75" s="1"/>
  <c r="AD64" i="75" a="1"/>
  <c r="AD64" i="75" s="1"/>
  <c r="AE64" i="75" a="1"/>
  <c r="AE64" i="75" s="1"/>
  <c r="AF78" i="75" a="1"/>
  <c r="AF78" i="75" s="1"/>
  <c r="AE92" i="75" a="1"/>
  <c r="AE92" i="75" s="1"/>
  <c r="AD78" i="75" a="1"/>
  <c r="AD78" i="75" s="1"/>
  <c r="AC78" i="75" a="1"/>
  <c r="AC78" i="75" s="1"/>
  <c r="AB78" i="75" a="1"/>
  <c r="AB78" i="75" s="1"/>
  <c r="AA78" i="75" a="1"/>
  <c r="AA78" i="75" s="1"/>
  <c r="AD50" i="75" a="1"/>
  <c r="AD50" i="75" s="1"/>
  <c r="AF92" i="75" a="1"/>
  <c r="AF92" i="75" s="1"/>
  <c r="AF64" i="75" a="1"/>
  <c r="AF64" i="75" s="1"/>
  <c r="AD92" i="75" a="1"/>
  <c r="AD92" i="75" s="1"/>
  <c r="AC92" i="75" a="1"/>
  <c r="AC92" i="75" s="1"/>
  <c r="AB92" i="75" a="1"/>
  <c r="AB92" i="75" s="1"/>
  <c r="AA92" i="75" a="1"/>
  <c r="AA92" i="75" s="1"/>
  <c r="AF76" i="75" a="1"/>
  <c r="AF76" i="75" s="1"/>
  <c r="AF90" i="75" a="1"/>
  <c r="AF90" i="75" s="1"/>
  <c r="AE90" i="75" a="1"/>
  <c r="AE90" i="75" s="1"/>
  <c r="AD90" i="75" a="1"/>
  <c r="AD90" i="75" s="1"/>
  <c r="AC90" i="75" a="1"/>
  <c r="AC90" i="75" s="1"/>
  <c r="AB90" i="75" a="1"/>
  <c r="AB90" i="75" s="1"/>
  <c r="AA90" i="75" a="1"/>
  <c r="AA90" i="75" s="1"/>
  <c r="AE76" i="75" a="1"/>
  <c r="AE76" i="75" s="1"/>
  <c r="AD76" i="75" a="1"/>
  <c r="AD76" i="75" s="1"/>
  <c r="AB76" i="75" a="1"/>
  <c r="AB76" i="75" s="1"/>
  <c r="AD48" i="75" a="1"/>
  <c r="AD48" i="75" s="1"/>
  <c r="AC76" i="75" a="1"/>
  <c r="AC76" i="75" s="1"/>
  <c r="AA76" i="75" a="1"/>
  <c r="AA76" i="75" s="1"/>
  <c r="AF62" i="75" a="1"/>
  <c r="AF62" i="75" s="1"/>
  <c r="AE62" i="75" a="1"/>
  <c r="AE62" i="75" s="1"/>
  <c r="AD62" i="75" a="1"/>
  <c r="AD62" i="75" s="1"/>
  <c r="AC62" i="75" a="1"/>
  <c r="AC62" i="75" s="1"/>
  <c r="AB62" i="75" a="1"/>
  <c r="AB62" i="75" s="1"/>
  <c r="AA62" i="75" a="1"/>
  <c r="AA62" i="75" s="1"/>
  <c r="AE74" i="75" a="1"/>
  <c r="AE74" i="75" s="1"/>
  <c r="AD74" i="75" a="1"/>
  <c r="AD74" i="75" s="1"/>
  <c r="AC74" i="75" a="1"/>
  <c r="AC74" i="75" s="1"/>
  <c r="AB74" i="75" a="1"/>
  <c r="AB74" i="75" s="1"/>
  <c r="AD46" i="75" a="1"/>
  <c r="AD46" i="75" s="1"/>
  <c r="AF88" i="75" a="1"/>
  <c r="AF88" i="75" s="1"/>
  <c r="AA88" i="75" a="1"/>
  <c r="AA88" i="75" s="1"/>
  <c r="AB88" i="75" a="1"/>
  <c r="AB88" i="75" s="1"/>
  <c r="AC88" i="75" a="1"/>
  <c r="AC88" i="75" s="1"/>
  <c r="AD88" i="75" a="1"/>
  <c r="AD88" i="75" s="1"/>
  <c r="AE88" i="75" a="1"/>
  <c r="AE88" i="75" s="1"/>
  <c r="AA74" i="75" a="1"/>
  <c r="AA74" i="75" s="1"/>
  <c r="AC60" i="75" a="1"/>
  <c r="AC60" i="75" s="1"/>
  <c r="AE60" i="75" a="1"/>
  <c r="AE60" i="75" s="1"/>
  <c r="AB60" i="75" a="1"/>
  <c r="AB60" i="75" s="1"/>
  <c r="AA60" i="75" a="1"/>
  <c r="AA60" i="75" s="1"/>
  <c r="AF74" i="75" a="1"/>
  <c r="AF74" i="75" s="1"/>
  <c r="AF60" i="75" a="1"/>
  <c r="AF60" i="75" s="1"/>
  <c r="AD60" i="75" a="1"/>
  <c r="AD60" i="75" s="1"/>
  <c r="AB50" i="75" a="1"/>
  <c r="AB50" i="75" s="1"/>
  <c r="AF50" i="75" a="1"/>
  <c r="AF50" i="75" s="1"/>
  <c r="AC50" i="75" a="1"/>
  <c r="AC50" i="75" s="1"/>
  <c r="AE50" i="75" a="1"/>
  <c r="AE50" i="75" s="1"/>
  <c r="AA50" i="75" a="1"/>
  <c r="AA50" i="75" s="1"/>
  <c r="AB48" i="75" a="1"/>
  <c r="AB48" i="75" s="1"/>
  <c r="AF48" i="75" a="1"/>
  <c r="AF48" i="75" s="1"/>
  <c r="AC48" i="75" a="1"/>
  <c r="AC48" i="75" s="1"/>
  <c r="AE48" i="75" a="1"/>
  <c r="AE48" i="75" s="1"/>
  <c r="AA48" i="75" a="1"/>
  <c r="AA48" i="75" s="1"/>
  <c r="AE46" i="75" a="1"/>
  <c r="AE46" i="75" s="1"/>
  <c r="AC46" i="75" a="1"/>
  <c r="AC46" i="75" s="1"/>
  <c r="AF46" i="75" a="1"/>
  <c r="AF46" i="75" s="1"/>
  <c r="AB46" i="75" a="1"/>
  <c r="AB46" i="75" s="1"/>
  <c r="AA46" i="75" a="1"/>
  <c r="AA46" i="75" s="1"/>
  <c r="AM37" i="75"/>
  <c r="P92" i="75" a="1"/>
  <c r="P92" i="75" s="1"/>
  <c r="P78" i="75" a="1"/>
  <c r="P78" i="75" s="1"/>
  <c r="P64" i="75" a="1"/>
  <c r="P64" i="75" s="1"/>
  <c r="AM35" i="75"/>
  <c r="P90" i="75" a="1"/>
  <c r="P90" i="75" s="1"/>
  <c r="S90" i="75" s="1"/>
  <c r="P76" i="75" a="1"/>
  <c r="P76" i="75" s="1"/>
  <c r="S76" i="75" s="1"/>
  <c r="P62" i="75" a="1"/>
  <c r="P62" i="75" s="1"/>
  <c r="S62" i="75" s="1"/>
  <c r="AM33" i="75"/>
  <c r="P88" i="75" a="1"/>
  <c r="P88" i="75" s="1"/>
  <c r="S88" i="75" s="1"/>
  <c r="P74" i="75" a="1"/>
  <c r="P74" i="75" s="1"/>
  <c r="S74" i="75" s="1"/>
  <c r="P60" i="75" a="1"/>
  <c r="P60" i="75" s="1"/>
  <c r="S60" i="75" s="1"/>
  <c r="P48" i="75" a="1"/>
  <c r="P48" i="75" s="1"/>
  <c r="S48" i="75" s="1"/>
  <c r="P50" i="75" a="1"/>
  <c r="P50" i="75" s="1"/>
  <c r="P46" i="75" a="1"/>
  <c r="P46" i="75" s="1"/>
  <c r="S46" i="75" s="1"/>
  <c r="AA35" i="75"/>
  <c r="AK35" i="75" s="1"/>
  <c r="N72" i="76"/>
  <c r="M74" i="76"/>
  <c r="K21" i="76"/>
  <c r="L74" i="76"/>
  <c r="J21" i="76"/>
  <c r="K74" i="76"/>
  <c r="P74" i="76" s="1"/>
  <c r="M72" i="76"/>
  <c r="L72" i="76"/>
  <c r="K72" i="76"/>
  <c r="P72" i="76" s="1"/>
  <c r="K73" i="76"/>
  <c r="P73" i="76" s="1"/>
  <c r="M51" i="76"/>
  <c r="P51" i="76" s="1"/>
  <c r="I38" i="76" a="1"/>
  <c r="M49" i="76"/>
  <c r="P49" i="76" s="1"/>
  <c r="N74" i="76"/>
  <c r="N73" i="76"/>
  <c r="M53" i="76"/>
  <c r="P53" i="76" s="1"/>
  <c r="M52" i="76"/>
  <c r="P52" i="76" s="1"/>
  <c r="I60" i="76" a="1"/>
  <c r="M50" i="76"/>
  <c r="P50" i="76" s="1"/>
  <c r="M48" i="76"/>
  <c r="P48" i="76" s="1"/>
  <c r="M47" i="76"/>
  <c r="P47" i="76" s="1"/>
  <c r="I28" i="76" a="1"/>
  <c r="M21" i="76"/>
  <c r="I14" i="76" a="1"/>
  <c r="L21" i="76"/>
  <c r="M73" i="76"/>
  <c r="L73" i="76"/>
  <c r="I7" i="4"/>
  <c r="B7" i="4"/>
  <c r="C44" i="75"/>
  <c r="C58" i="75" s="1"/>
  <c r="C72" i="75" s="1"/>
  <c r="C86" i="75" s="1"/>
  <c r="C100" i="75" s="1"/>
  <c r="C46" i="75"/>
  <c r="C60" i="75" s="1"/>
  <c r="C74" i="75" s="1"/>
  <c r="C88" i="75" s="1"/>
  <c r="C102" i="75" s="1"/>
  <c r="G22" i="75"/>
  <c r="F72" i="75" s="1"/>
  <c r="H22" i="75"/>
  <c r="G72" i="75" s="1"/>
  <c r="D23" i="75"/>
  <c r="C48" i="75"/>
  <c r="C62" i="75" s="1"/>
  <c r="C76" i="75" s="1"/>
  <c r="C90" i="75" s="1"/>
  <c r="C104" i="75" s="1"/>
  <c r="H33" i="75" a="1"/>
  <c r="H33" i="75" s="1"/>
  <c r="G34" i="75" a="1"/>
  <c r="G34" i="75" s="1"/>
  <c r="H34" i="75" a="1"/>
  <c r="H34" i="75" s="1"/>
  <c r="AA36" i="75" a="1"/>
  <c r="G35" i="75" a="1"/>
  <c r="G35" i="75" s="1"/>
  <c r="E30" i="75" a="1"/>
  <c r="E30" i="75" s="1"/>
  <c r="H35" i="75" a="1"/>
  <c r="H35" i="75" s="1"/>
  <c r="F30" i="75" a="1"/>
  <c r="F30" i="75" s="1"/>
  <c r="G30" i="75" a="1"/>
  <c r="G30" i="75" s="1"/>
  <c r="H30" i="75" a="1"/>
  <c r="H30" i="75" s="1"/>
  <c r="G36" i="75" a="1"/>
  <c r="G36" i="75" s="1"/>
  <c r="H36" i="75" a="1"/>
  <c r="H36" i="75" s="1"/>
  <c r="G31" i="75" a="1"/>
  <c r="G31" i="75" s="1"/>
  <c r="AA31" i="75" a="1"/>
  <c r="E37" i="75" a="1"/>
  <c r="E37" i="75" s="1"/>
  <c r="H38" i="75" a="1"/>
  <c r="H38" i="75" s="1"/>
  <c r="E32" i="75" a="1"/>
  <c r="E32" i="75" s="1"/>
  <c r="AA34" i="75" a="1"/>
  <c r="H31" i="75" a="1"/>
  <c r="H31" i="75" s="1"/>
  <c r="G37" i="75" a="1"/>
  <c r="G37" i="75" s="1"/>
  <c r="H37" i="75" a="1"/>
  <c r="H37" i="75" s="1"/>
  <c r="G38" i="75" a="1"/>
  <c r="G38" i="75" s="1"/>
  <c r="F32" i="75" a="1"/>
  <c r="F32" i="75" s="1"/>
  <c r="F33" i="75" a="1"/>
  <c r="F33" i="75" s="1"/>
  <c r="AA37" i="75"/>
  <c r="AK37" i="75" s="1"/>
  <c r="G21" i="75"/>
  <c r="F58" i="75" s="1"/>
  <c r="F21" i="75"/>
  <c r="E58" i="75" s="1"/>
  <c r="E21" i="75"/>
  <c r="D58" i="75" s="1"/>
  <c r="D21" i="75"/>
  <c r="G23" i="75"/>
  <c r="F86" i="75" s="1"/>
  <c r="F23" i="75"/>
  <c r="E86" i="75" s="1"/>
  <c r="E23" i="75"/>
  <c r="D86" i="75" s="1"/>
  <c r="H23" i="75"/>
  <c r="G86" i="75" s="1"/>
  <c r="E22" i="75"/>
  <c r="D72" i="75" s="1"/>
  <c r="D22" i="75"/>
  <c r="H21" i="75"/>
  <c r="G58" i="75" s="1"/>
  <c r="AL37" i="75"/>
  <c r="C51" i="75"/>
  <c r="C65" i="75" s="1"/>
  <c r="C79" i="75" s="1"/>
  <c r="C93" i="75" s="1"/>
  <c r="C107" i="75" s="1"/>
  <c r="AA38" i="75" a="1"/>
  <c r="AA32" i="75" a="1"/>
  <c r="C50" i="75"/>
  <c r="C64" i="75" s="1"/>
  <c r="C78" i="75" s="1"/>
  <c r="C92" i="75" s="1"/>
  <c r="C106" i="75" s="1"/>
  <c r="F35" i="75" a="1"/>
  <c r="F35" i="75" s="1"/>
  <c r="E36" i="75" a="1"/>
  <c r="E36" i="75" s="1"/>
  <c r="E34" i="75" a="1"/>
  <c r="E34" i="75" s="1"/>
  <c r="E31" i="75" a="1"/>
  <c r="E31" i="75" s="1"/>
  <c r="E38" i="75" a="1"/>
  <c r="E38" i="75" s="1"/>
  <c r="E35" i="75" a="1"/>
  <c r="E35" i="75" s="1"/>
  <c r="AL35" i="75"/>
  <c r="AA33" i="75"/>
  <c r="AK33" i="75" s="1"/>
  <c r="AL33" i="75"/>
  <c r="F34" i="75" a="1"/>
  <c r="F34" i="75" s="1"/>
  <c r="F31" i="75" a="1"/>
  <c r="F31" i="75" s="1"/>
  <c r="F38" i="75" a="1"/>
  <c r="F38" i="75" s="1"/>
  <c r="F37" i="75" a="1"/>
  <c r="F37" i="75" s="1"/>
  <c r="G33" i="75" a="1"/>
  <c r="G33" i="75" s="1"/>
  <c r="AI64" i="75" l="1" a="1"/>
  <c r="AI64" i="75" s="1"/>
  <c r="AI92" i="75" a="1"/>
  <c r="AI92" i="75" s="1"/>
  <c r="AI78" i="75" a="1"/>
  <c r="AI78" i="75" s="1"/>
  <c r="AI90" i="75" a="1"/>
  <c r="AI90" i="75" s="1"/>
  <c r="AI76" i="75" a="1"/>
  <c r="AI76" i="75" s="1"/>
  <c r="AI62" i="75" a="1"/>
  <c r="AI62" i="75" s="1"/>
  <c r="AI74" i="75" a="1"/>
  <c r="AI74" i="75" s="1"/>
  <c r="AI88" i="75" a="1"/>
  <c r="AI88" i="75" s="1"/>
  <c r="AI60" i="75" a="1"/>
  <c r="AI60" i="75" s="1"/>
  <c r="AG48" i="75" a="1"/>
  <c r="AG48" i="75" s="1"/>
  <c r="AI48" i="75" s="1" a="1"/>
  <c r="AI48" i="75" s="1"/>
  <c r="AG76" i="75" a="1"/>
  <c r="AG76" i="75" s="1"/>
  <c r="AG90" i="75" a="1"/>
  <c r="AG90" i="75" s="1"/>
  <c r="AG62" i="75" a="1"/>
  <c r="AG62" i="75" s="1"/>
  <c r="AF91" i="75" a="1"/>
  <c r="AF91" i="75" s="1"/>
  <c r="AF63" i="75" a="1"/>
  <c r="AF63" i="75" s="1"/>
  <c r="AA91" i="75" a="1"/>
  <c r="AA91" i="75" s="1"/>
  <c r="AB91" i="75" a="1"/>
  <c r="AB91" i="75" s="1"/>
  <c r="AA63" i="75" a="1"/>
  <c r="AA63" i="75" s="1"/>
  <c r="AC91" i="75" a="1"/>
  <c r="AC91" i="75" s="1"/>
  <c r="AD91" i="75" a="1"/>
  <c r="AD91" i="75" s="1"/>
  <c r="AF77" i="75" a="1"/>
  <c r="AF77" i="75" s="1"/>
  <c r="AE77" i="75" a="1"/>
  <c r="AE77" i="75" s="1"/>
  <c r="AD77" i="75" a="1"/>
  <c r="AD77" i="75" s="1"/>
  <c r="AC77" i="75" a="1"/>
  <c r="AC77" i="75" s="1"/>
  <c r="AB77" i="75" a="1"/>
  <c r="AB77" i="75" s="1"/>
  <c r="AA77" i="75" a="1"/>
  <c r="AA77" i="75" s="1"/>
  <c r="AB63" i="75" a="1"/>
  <c r="AB63" i="75" s="1"/>
  <c r="AE91" i="75" a="1"/>
  <c r="AE91" i="75" s="1"/>
  <c r="AC63" i="75" a="1"/>
  <c r="AC63" i="75" s="1"/>
  <c r="AD63" i="75" a="1"/>
  <c r="AD63" i="75" s="1"/>
  <c r="AE63" i="75" a="1"/>
  <c r="AE63" i="75" s="1"/>
  <c r="AD49" i="75" a="1"/>
  <c r="AD49" i="75" s="1"/>
  <c r="AA86" i="75" a="1"/>
  <c r="AA86" i="75" s="1"/>
  <c r="AD44" i="75" a="1"/>
  <c r="AD44" i="75" s="1"/>
  <c r="AA58" i="75" a="1"/>
  <c r="AA58" i="75" s="1"/>
  <c r="AD58" i="75" a="1"/>
  <c r="AD58" i="75" s="1"/>
  <c r="AF58" i="75" a="1"/>
  <c r="AF58" i="75" s="1"/>
  <c r="AD86" i="75" a="1"/>
  <c r="AD86" i="75" s="1"/>
  <c r="AF72" i="75" a="1"/>
  <c r="AF72" i="75" s="1"/>
  <c r="AE72" i="75" a="1"/>
  <c r="AE72" i="75" s="1"/>
  <c r="AD72" i="75" a="1"/>
  <c r="AD72" i="75" s="1"/>
  <c r="AC72" i="75" a="1"/>
  <c r="AC72" i="75" s="1"/>
  <c r="AB72" i="75" a="1"/>
  <c r="AB72" i="75" s="1"/>
  <c r="AA72" i="75" a="1"/>
  <c r="AA72" i="75" s="1"/>
  <c r="AF86" i="75" a="1"/>
  <c r="AF86" i="75" s="1"/>
  <c r="AE86" i="75" a="1"/>
  <c r="AE86" i="75" s="1"/>
  <c r="AC86" i="75" a="1"/>
  <c r="AC86" i="75" s="1"/>
  <c r="AE58" i="75" a="1"/>
  <c r="AE58" i="75" s="1"/>
  <c r="AC58" i="75" a="1"/>
  <c r="AC58" i="75" s="1"/>
  <c r="AB58" i="75" a="1"/>
  <c r="AB58" i="75" s="1"/>
  <c r="AB86" i="75" a="1"/>
  <c r="AB86" i="75" s="1"/>
  <c r="AD61" i="75" a="1"/>
  <c r="AD61" i="75" s="1"/>
  <c r="AE89" i="75" a="1"/>
  <c r="AE89" i="75" s="1"/>
  <c r="AF89" i="75" a="1"/>
  <c r="AF89" i="75" s="1"/>
  <c r="AE75" i="75" a="1"/>
  <c r="AE75" i="75" s="1"/>
  <c r="AD75" i="75" a="1"/>
  <c r="AD75" i="75" s="1"/>
  <c r="AC75" i="75" a="1"/>
  <c r="AC75" i="75" s="1"/>
  <c r="AB75" i="75" a="1"/>
  <c r="AB75" i="75" s="1"/>
  <c r="AA75" i="75" a="1"/>
  <c r="AA75" i="75" s="1"/>
  <c r="AC89" i="75" a="1"/>
  <c r="AC89" i="75" s="1"/>
  <c r="AD89" i="75" a="1"/>
  <c r="AD89" i="75" s="1"/>
  <c r="AF61" i="75" a="1"/>
  <c r="AF61" i="75" s="1"/>
  <c r="AE61" i="75" a="1"/>
  <c r="AE61" i="75" s="1"/>
  <c r="AB61" i="75" a="1"/>
  <c r="AB61" i="75" s="1"/>
  <c r="AA61" i="75" a="1"/>
  <c r="AA61" i="75" s="1"/>
  <c r="AB89" i="75" a="1"/>
  <c r="AB89" i="75" s="1"/>
  <c r="AA89" i="75" a="1"/>
  <c r="AA89" i="75" s="1"/>
  <c r="AF75" i="75" a="1"/>
  <c r="AF75" i="75" s="1"/>
  <c r="AD47" i="75" a="1"/>
  <c r="AD47" i="75" s="1"/>
  <c r="AC61" i="75" a="1"/>
  <c r="AC61" i="75" s="1"/>
  <c r="AG50" i="75" a="1"/>
  <c r="AG50" i="75" s="1"/>
  <c r="AI50" i="75" s="1" a="1"/>
  <c r="AI50" i="75" s="1"/>
  <c r="AG78" i="75" a="1"/>
  <c r="AG78" i="75" s="1"/>
  <c r="AG64" i="75" a="1"/>
  <c r="AG64" i="75" s="1"/>
  <c r="AG92" i="75" a="1"/>
  <c r="AG92" i="75" s="1"/>
  <c r="AH50" i="75" a="1"/>
  <c r="AH50" i="75" s="1"/>
  <c r="AH78" i="75" a="1"/>
  <c r="AH78" i="75" s="1"/>
  <c r="AH64" i="75" a="1"/>
  <c r="AH64" i="75" s="1"/>
  <c r="AH92" i="75" a="1"/>
  <c r="AH92" i="75" s="1"/>
  <c r="AC93" i="75" a="1"/>
  <c r="AC93" i="75" s="1"/>
  <c r="AB93" i="75" a="1"/>
  <c r="AB93" i="75" s="1"/>
  <c r="AA93" i="75" a="1"/>
  <c r="AA93" i="75" s="1"/>
  <c r="AA65" i="75" a="1"/>
  <c r="AA65" i="75" s="1"/>
  <c r="AF79" i="75" a="1"/>
  <c r="AF79" i="75" s="1"/>
  <c r="AE79" i="75" a="1"/>
  <c r="AE79" i="75" s="1"/>
  <c r="AD51" i="75" a="1"/>
  <c r="AD51" i="75" s="1"/>
  <c r="AC79" i="75" a="1"/>
  <c r="AC79" i="75" s="1"/>
  <c r="AB79" i="75" a="1"/>
  <c r="AB79" i="75" s="1"/>
  <c r="AA79" i="75" a="1"/>
  <c r="AA79" i="75" s="1"/>
  <c r="AF65" i="75" a="1"/>
  <c r="AF65" i="75" s="1"/>
  <c r="AE65" i="75" a="1"/>
  <c r="AE65" i="75" s="1"/>
  <c r="AD65" i="75" a="1"/>
  <c r="AD65" i="75" s="1"/>
  <c r="AC65" i="75" a="1"/>
  <c r="AC65" i="75" s="1"/>
  <c r="AB65" i="75" a="1"/>
  <c r="AB65" i="75" s="1"/>
  <c r="AD79" i="75" a="1"/>
  <c r="AD79" i="75" s="1"/>
  <c r="AF93" i="75" a="1"/>
  <c r="AF93" i="75" s="1"/>
  <c r="AE93" i="75" a="1"/>
  <c r="AE93" i="75" s="1"/>
  <c r="AD93" i="75" a="1"/>
  <c r="AD93" i="75" s="1"/>
  <c r="AF73" i="75" a="1"/>
  <c r="AF73" i="75" s="1"/>
  <c r="AE73" i="75" a="1"/>
  <c r="AE73" i="75" s="1"/>
  <c r="AD73" i="75" a="1"/>
  <c r="AD73" i="75" s="1"/>
  <c r="AC73" i="75" a="1"/>
  <c r="AC73" i="75" s="1"/>
  <c r="AB73" i="75" a="1"/>
  <c r="AB73" i="75" s="1"/>
  <c r="AA73" i="75" a="1"/>
  <c r="AA73" i="75" s="1"/>
  <c r="AA59" i="75" a="1"/>
  <c r="AA59" i="75" s="1"/>
  <c r="AF59" i="75" a="1"/>
  <c r="AF59" i="75" s="1"/>
  <c r="AC59" i="75" a="1"/>
  <c r="AC59" i="75" s="1"/>
  <c r="AA87" i="75" a="1"/>
  <c r="AA87" i="75" s="1"/>
  <c r="AB87" i="75" a="1"/>
  <c r="AB87" i="75" s="1"/>
  <c r="AE59" i="75" a="1"/>
  <c r="AE59" i="75" s="1"/>
  <c r="AD59" i="75" a="1"/>
  <c r="AD59" i="75" s="1"/>
  <c r="AC87" i="75" a="1"/>
  <c r="AC87" i="75" s="1"/>
  <c r="AD87" i="75" a="1"/>
  <c r="AD87" i="75" s="1"/>
  <c r="AE87" i="75" a="1"/>
  <c r="AE87" i="75" s="1"/>
  <c r="AF87" i="75" a="1"/>
  <c r="AF87" i="75" s="1"/>
  <c r="AD45" i="75" a="1"/>
  <c r="AD45" i="75" s="1"/>
  <c r="AB59" i="75" a="1"/>
  <c r="AB59" i="75" s="1"/>
  <c r="AH48" i="75" a="1"/>
  <c r="AH48" i="75" s="1"/>
  <c r="AH62" i="75" a="1"/>
  <c r="AH62" i="75" s="1"/>
  <c r="AH90" i="75" a="1"/>
  <c r="AH90" i="75" s="1"/>
  <c r="AH76" i="75" a="1"/>
  <c r="AH76" i="75" s="1"/>
  <c r="AG46" i="75" a="1"/>
  <c r="AG46" i="75" s="1"/>
  <c r="AI46" i="75" s="1" a="1"/>
  <c r="AI46" i="75" s="1"/>
  <c r="AG88" i="75" a="1"/>
  <c r="AG88" i="75" s="1"/>
  <c r="AG60" i="75" a="1"/>
  <c r="AG60" i="75" s="1"/>
  <c r="AG74" i="75" a="1"/>
  <c r="AG74" i="75" s="1"/>
  <c r="AH46" i="75" a="1"/>
  <c r="AH46" i="75" s="1"/>
  <c r="AH88" i="75" a="1"/>
  <c r="AH88" i="75" s="1"/>
  <c r="AH60" i="75" a="1"/>
  <c r="AH60" i="75" s="1"/>
  <c r="AH74" i="75" a="1"/>
  <c r="AH74" i="75" s="1"/>
  <c r="AC49" i="75" a="1"/>
  <c r="AC49" i="75" s="1"/>
  <c r="AB49" i="75" a="1"/>
  <c r="AB49" i="75" s="1"/>
  <c r="AA49" i="75" a="1"/>
  <c r="AA49" i="75" s="1"/>
  <c r="AF49" i="75" a="1"/>
  <c r="AF49" i="75" s="1"/>
  <c r="AE49" i="75" a="1"/>
  <c r="AE49" i="75" s="1"/>
  <c r="AC44" i="75" a="1"/>
  <c r="AC44" i="75" s="1"/>
  <c r="AB44" i="75" a="1"/>
  <c r="AB44" i="75" s="1"/>
  <c r="AF44" i="75" a="1"/>
  <c r="AF44" i="75" s="1"/>
  <c r="AE44" i="75" a="1"/>
  <c r="AE44" i="75" s="1"/>
  <c r="AA44" i="75" a="1"/>
  <c r="AA44" i="75" s="1"/>
  <c r="AF47" i="75" a="1"/>
  <c r="AF47" i="75" s="1"/>
  <c r="AB47" i="75" a="1"/>
  <c r="AB47" i="75" s="1"/>
  <c r="AE47" i="75" a="1"/>
  <c r="AE47" i="75" s="1"/>
  <c r="AC47" i="75" a="1"/>
  <c r="AC47" i="75" s="1"/>
  <c r="AA47" i="75" a="1"/>
  <c r="AA47" i="75" s="1"/>
  <c r="AF51" i="75" a="1"/>
  <c r="AF51" i="75" s="1"/>
  <c r="AA51" i="75" a="1"/>
  <c r="AA51" i="75" s="1"/>
  <c r="AC51" i="75" a="1"/>
  <c r="AC51" i="75" s="1"/>
  <c r="AB51" i="75" a="1"/>
  <c r="AB51" i="75" s="1"/>
  <c r="AE51" i="75" a="1"/>
  <c r="AE51" i="75" s="1"/>
  <c r="AC45" i="75" a="1"/>
  <c r="AC45" i="75" s="1"/>
  <c r="AB45" i="75" a="1"/>
  <c r="AB45" i="75" s="1"/>
  <c r="AF45" i="75" a="1"/>
  <c r="AF45" i="75" s="1"/>
  <c r="AE45" i="75" a="1"/>
  <c r="AE45" i="75" s="1"/>
  <c r="AA45" i="75" a="1"/>
  <c r="AA45" i="75" s="1"/>
  <c r="AM36" i="75"/>
  <c r="P91" i="75" a="1"/>
  <c r="P91" i="75" s="1"/>
  <c r="S91" i="75" s="1"/>
  <c r="P77" i="75" a="1"/>
  <c r="P77" i="75" s="1"/>
  <c r="S77" i="75" s="1"/>
  <c r="P63" i="75" a="1"/>
  <c r="P63" i="75" s="1"/>
  <c r="S63" i="75" s="1"/>
  <c r="AM31" i="75"/>
  <c r="P86" i="75" a="1"/>
  <c r="P86" i="75" s="1"/>
  <c r="P72" i="75" a="1"/>
  <c r="P72" i="75" s="1"/>
  <c r="P58" i="75" a="1"/>
  <c r="P58" i="75" s="1"/>
  <c r="AM34" i="75"/>
  <c r="P89" i="75" a="1"/>
  <c r="P89" i="75" s="1"/>
  <c r="S89" i="75" s="1"/>
  <c r="P75" i="75" a="1"/>
  <c r="P75" i="75" s="1"/>
  <c r="S75" i="75" s="1"/>
  <c r="P61" i="75" a="1"/>
  <c r="P61" i="75" s="1"/>
  <c r="S61" i="75" s="1"/>
  <c r="AM38" i="75"/>
  <c r="P93" i="75" a="1"/>
  <c r="P93" i="75" s="1"/>
  <c r="S93" i="75" s="1"/>
  <c r="P79" i="75" a="1"/>
  <c r="P79" i="75" s="1"/>
  <c r="S79" i="75" s="1"/>
  <c r="P65" i="75" a="1"/>
  <c r="P65" i="75" s="1"/>
  <c r="S65" i="75" s="1"/>
  <c r="AM32" i="75"/>
  <c r="P87" i="75" a="1"/>
  <c r="P87" i="75" s="1"/>
  <c r="P73" i="75" a="1"/>
  <c r="P73" i="75" s="1"/>
  <c r="P59" i="75" a="1"/>
  <c r="P59" i="75" s="1"/>
  <c r="I60" i="76"/>
  <c r="I14" i="76"/>
  <c r="K14" i="76" s="1"/>
  <c r="G59" i="75" a="1"/>
  <c r="G59" i="75" s="1"/>
  <c r="G60" i="75" s="1" a="1"/>
  <c r="G60" i="75" s="1"/>
  <c r="G61" i="75" s="1" a="1"/>
  <c r="G61" i="75" s="1"/>
  <c r="G62" i="75" s="1" a="1"/>
  <c r="G62" i="75" s="1"/>
  <c r="G63" i="75" s="1" a="1"/>
  <c r="G63" i="75" s="1"/>
  <c r="G64" i="75" s="1" a="1"/>
  <c r="G64" i="75" s="1"/>
  <c r="G65" i="75" s="1" a="1"/>
  <c r="G65" i="75" s="1"/>
  <c r="P49" i="75" a="1"/>
  <c r="P49" i="75" s="1"/>
  <c r="S49" i="75" s="1"/>
  <c r="F59" i="75" a="1"/>
  <c r="F59" i="75" s="1"/>
  <c r="F60" i="75" s="1" a="1"/>
  <c r="F60" i="75" s="1"/>
  <c r="F61" i="75" s="1" a="1"/>
  <c r="F61" i="75" s="1"/>
  <c r="F62" i="75" s="1" a="1"/>
  <c r="F62" i="75" s="1"/>
  <c r="F63" i="75" s="1" a="1"/>
  <c r="F63" i="75" s="1"/>
  <c r="F64" i="75" s="1" a="1"/>
  <c r="F64" i="75" s="1"/>
  <c r="F65" i="75" s="1" a="1"/>
  <c r="F65" i="75" s="1"/>
  <c r="P47" i="75" a="1"/>
  <c r="P47" i="75" s="1"/>
  <c r="S47" i="75" s="1"/>
  <c r="J72" i="75" a="1"/>
  <c r="J72" i="75" s="1"/>
  <c r="N72" i="75" s="1"/>
  <c r="J86" i="75" a="1"/>
  <c r="J86" i="75" s="1"/>
  <c r="N86" i="75" s="1"/>
  <c r="J58" i="75" a="1"/>
  <c r="P44" i="75" a="1"/>
  <c r="P44" i="75" s="1"/>
  <c r="P51" i="75" a="1"/>
  <c r="P51" i="75" s="1"/>
  <c r="S51" i="75" s="1"/>
  <c r="P45" i="75" a="1"/>
  <c r="P45" i="75" s="1"/>
  <c r="C146" i="75" a="1"/>
  <c r="AL36" i="75"/>
  <c r="AL34" i="75"/>
  <c r="H72" i="75"/>
  <c r="K17" i="76"/>
  <c r="I38" i="76"/>
  <c r="M38" i="76" s="1"/>
  <c r="M41" i="76"/>
  <c r="M45" i="76"/>
  <c r="M42" i="76"/>
  <c r="M44" i="76"/>
  <c r="J19" i="76"/>
  <c r="K19" i="76"/>
  <c r="J20" i="76"/>
  <c r="K20" i="76"/>
  <c r="M15" i="76"/>
  <c r="K64" i="76"/>
  <c r="L63" i="76"/>
  <c r="M63" i="76"/>
  <c r="I28" i="76"/>
  <c r="J30" i="76"/>
  <c r="J29" i="76"/>
  <c r="L29" i="76"/>
  <c r="L31" i="76"/>
  <c r="K29" i="76"/>
  <c r="K31" i="76"/>
  <c r="J31" i="76"/>
  <c r="L30" i="76"/>
  <c r="K30" i="76"/>
  <c r="L20" i="76"/>
  <c r="K66" i="76"/>
  <c r="K18" i="76"/>
  <c r="M68" i="76"/>
  <c r="N65" i="76"/>
  <c r="M40" i="76"/>
  <c r="L61" i="76"/>
  <c r="J17" i="76"/>
  <c r="M70" i="76"/>
  <c r="M71" i="76"/>
  <c r="N67" i="76"/>
  <c r="K67" i="76"/>
  <c r="L62" i="76"/>
  <c r="K70" i="76"/>
  <c r="M62" i="76"/>
  <c r="J18" i="76"/>
  <c r="M46" i="76"/>
  <c r="N64" i="76"/>
  <c r="M39" i="76"/>
  <c r="K61" i="76"/>
  <c r="L19" i="76"/>
  <c r="M20" i="76"/>
  <c r="K15" i="76"/>
  <c r="M64" i="76"/>
  <c r="M66" i="76"/>
  <c r="L18" i="76"/>
  <c r="L69" i="76"/>
  <c r="M69" i="76"/>
  <c r="L67" i="76"/>
  <c r="K16" i="76"/>
  <c r="K62" i="76"/>
  <c r="L65" i="76"/>
  <c r="N69" i="76"/>
  <c r="N61" i="76"/>
  <c r="K65" i="76"/>
  <c r="M18" i="76"/>
  <c r="K68" i="76"/>
  <c r="J15" i="76"/>
  <c r="L71" i="76"/>
  <c r="K69" i="76"/>
  <c r="N68" i="76"/>
  <c r="N63" i="76"/>
  <c r="L64" i="76"/>
  <c r="L70" i="76"/>
  <c r="L68" i="76"/>
  <c r="K63" i="76"/>
  <c r="M16" i="76"/>
  <c r="L15" i="76"/>
  <c r="M61" i="76"/>
  <c r="L17" i="76"/>
  <c r="N70" i="76"/>
  <c r="M43" i="76"/>
  <c r="K71" i="76"/>
  <c r="N66" i="76"/>
  <c r="J16" i="76"/>
  <c r="M65" i="76"/>
  <c r="M17" i="76"/>
  <c r="N71" i="76"/>
  <c r="M67" i="76"/>
  <c r="M19" i="76"/>
  <c r="L16" i="76"/>
  <c r="L66" i="76"/>
  <c r="N62" i="76"/>
  <c r="G73" i="75" a="1"/>
  <c r="G73" i="75" s="1"/>
  <c r="G74" i="75" s="1" a="1"/>
  <c r="G74" i="75" s="1"/>
  <c r="G75" i="75" s="1" a="1"/>
  <c r="G75" i="75" s="1"/>
  <c r="AA36" i="75"/>
  <c r="AK36" i="75" s="1"/>
  <c r="AA34" i="75"/>
  <c r="AK34" i="75" s="1"/>
  <c r="H86" i="75"/>
  <c r="H58" i="75"/>
  <c r="AL31" i="75"/>
  <c r="AA31" i="75"/>
  <c r="AK31" i="75" s="1"/>
  <c r="G87" i="75" a="1"/>
  <c r="G87" i="75" s="1"/>
  <c r="G88" i="75" s="1" a="1"/>
  <c r="G88" i="75" s="1"/>
  <c r="G89" i="75" s="1" a="1"/>
  <c r="G89" i="75" s="1"/>
  <c r="F73" i="75" a="1"/>
  <c r="F73" i="75" s="1"/>
  <c r="F74" i="75" s="1" a="1"/>
  <c r="F74" i="75" s="1"/>
  <c r="AL38" i="75"/>
  <c r="AA38" i="75"/>
  <c r="AK38" i="75" s="1"/>
  <c r="F87" i="75" a="1"/>
  <c r="F87" i="75" s="1"/>
  <c r="F88" i="75" s="1" a="1"/>
  <c r="F88" i="75" s="1"/>
  <c r="AA32" i="75"/>
  <c r="AK32" i="75" s="1"/>
  <c r="AL32" i="75"/>
  <c r="H20" i="75"/>
  <c r="G20" i="75"/>
  <c r="E20" i="75"/>
  <c r="D44" i="75" s="1"/>
  <c r="D20" i="75"/>
  <c r="F20" i="75"/>
  <c r="E44" i="75" s="1"/>
  <c r="C146" i="75" l="1"/>
  <c r="AI63" i="75" a="1"/>
  <c r="AI63" i="75" s="1"/>
  <c r="AI77" i="75" a="1"/>
  <c r="AI77" i="75" s="1"/>
  <c r="AI91" i="75" a="1"/>
  <c r="AI91" i="75" s="1"/>
  <c r="AI86" i="75" a="1"/>
  <c r="AI86" i="75" s="1"/>
  <c r="AI58" i="75" a="1"/>
  <c r="AI58" i="75" s="1"/>
  <c r="AI72" i="75" a="1"/>
  <c r="AI72" i="75" s="1"/>
  <c r="AI75" i="75" a="1"/>
  <c r="AI75" i="75" s="1"/>
  <c r="AI89" i="75" a="1"/>
  <c r="AI89" i="75" s="1"/>
  <c r="AI61" i="75" a="1"/>
  <c r="AI61" i="75" s="1"/>
  <c r="AI79" i="75" a="1"/>
  <c r="AI79" i="75" s="1"/>
  <c r="AI65" i="75" a="1"/>
  <c r="AI65" i="75" s="1"/>
  <c r="AI93" i="75" a="1"/>
  <c r="AI93" i="75" s="1"/>
  <c r="AI87" i="75" a="1"/>
  <c r="AI87" i="75" s="1"/>
  <c r="AI73" i="75" a="1"/>
  <c r="AI73" i="75" s="1"/>
  <c r="AI59" i="75" a="1"/>
  <c r="AI59" i="75" s="1"/>
  <c r="AH49" i="75" a="1"/>
  <c r="AH49" i="75" s="1"/>
  <c r="AH63" i="75" a="1"/>
  <c r="AH63" i="75" s="1"/>
  <c r="AH77" i="75" a="1"/>
  <c r="AH77" i="75" s="1"/>
  <c r="AH91" i="75" a="1"/>
  <c r="AH91" i="75" s="1"/>
  <c r="AH47" i="75" a="1"/>
  <c r="AH47" i="75" s="1"/>
  <c r="AH75" i="75" a="1"/>
  <c r="AH75" i="75" s="1"/>
  <c r="AH89" i="75" a="1"/>
  <c r="AH89" i="75" s="1"/>
  <c r="AH61" i="75" a="1"/>
  <c r="AH61" i="75" s="1"/>
  <c r="AG49" i="75" a="1"/>
  <c r="AG49" i="75" s="1"/>
  <c r="AI49" i="75" s="1" a="1"/>
  <c r="AI49" i="75" s="1"/>
  <c r="AG63" i="75" a="1"/>
  <c r="AG63" i="75" s="1"/>
  <c r="AG77" i="75" a="1"/>
  <c r="AG77" i="75" s="1"/>
  <c r="AG91" i="75" a="1"/>
  <c r="AG91" i="75" s="1"/>
  <c r="AG47" i="75" a="1"/>
  <c r="AG47" i="75" s="1"/>
  <c r="AI47" i="75" s="1" a="1"/>
  <c r="AI47" i="75" s="1"/>
  <c r="AG89" i="75" a="1"/>
  <c r="AG89" i="75" s="1"/>
  <c r="AG75" i="75" a="1"/>
  <c r="AG75" i="75" s="1"/>
  <c r="AG61" i="75" a="1"/>
  <c r="AG61" i="75" s="1"/>
  <c r="AH44" i="75" a="1"/>
  <c r="AH44" i="75" s="1"/>
  <c r="AH72" i="75" a="1"/>
  <c r="AH72" i="75" s="1"/>
  <c r="AH86" i="75" a="1"/>
  <c r="AH86" i="75" s="1"/>
  <c r="AH58" i="75" a="1"/>
  <c r="AH58" i="75" s="1"/>
  <c r="AG44" i="75" a="1"/>
  <c r="AG44" i="75" s="1"/>
  <c r="AI44" i="75" s="1" a="1"/>
  <c r="AI44" i="75" s="1"/>
  <c r="AG72" i="75" a="1"/>
  <c r="AG72" i="75" s="1"/>
  <c r="AG86" i="75" a="1"/>
  <c r="AG86" i="75" s="1"/>
  <c r="AG58" i="75" a="1"/>
  <c r="AG58" i="75" s="1"/>
  <c r="AH51" i="75" a="1"/>
  <c r="AH51" i="75" s="1"/>
  <c r="AH79" i="75" a="1"/>
  <c r="AH79" i="75" s="1"/>
  <c r="AH65" i="75" a="1"/>
  <c r="AH65" i="75" s="1"/>
  <c r="AH93" i="75" a="1"/>
  <c r="AH93" i="75" s="1"/>
  <c r="AG51" i="75" a="1"/>
  <c r="AG51" i="75" s="1"/>
  <c r="AI51" i="75" s="1" a="1"/>
  <c r="AI51" i="75" s="1"/>
  <c r="AG79" i="75" a="1"/>
  <c r="AG79" i="75" s="1"/>
  <c r="AG93" i="75" a="1"/>
  <c r="AG93" i="75" s="1"/>
  <c r="AG65" i="75" a="1"/>
  <c r="AG65" i="75" s="1"/>
  <c r="AG45" i="75" a="1"/>
  <c r="AG45" i="75" s="1"/>
  <c r="AI45" i="75" s="1" a="1"/>
  <c r="AI45" i="75" s="1"/>
  <c r="AG73" i="75" a="1"/>
  <c r="AG73" i="75" s="1"/>
  <c r="AG87" i="75" a="1"/>
  <c r="AG87" i="75" s="1"/>
  <c r="AG59" i="75" a="1"/>
  <c r="AG59" i="75" s="1"/>
  <c r="AH45" i="75" a="1"/>
  <c r="AH45" i="75" s="1"/>
  <c r="AH87" i="75" a="1"/>
  <c r="AH87" i="75" s="1"/>
  <c r="AH59" i="75" a="1"/>
  <c r="AH59" i="75" s="1"/>
  <c r="AH73" i="75" a="1"/>
  <c r="AH73" i="75" s="1"/>
  <c r="S72" i="75"/>
  <c r="Q72" i="75"/>
  <c r="U72" i="75" s="1" a="1"/>
  <c r="U72" i="75" s="1"/>
  <c r="Q86" i="75"/>
  <c r="S86" i="75"/>
  <c r="M60" i="76"/>
  <c r="L84" i="76" s="1"/>
  <c r="N60" i="76"/>
  <c r="M84" i="76" s="1"/>
  <c r="L60" i="76"/>
  <c r="K84" i="76" s="1"/>
  <c r="K60" i="76"/>
  <c r="M14" i="76"/>
  <c r="M81" i="76" s="1"/>
  <c r="L14" i="76"/>
  <c r="L81" i="76" s="1"/>
  <c r="J14" i="76"/>
  <c r="J58" i="75"/>
  <c r="N58" i="75" s="1"/>
  <c r="J44" i="75" a="1"/>
  <c r="L28" i="76"/>
  <c r="L82" i="76" s="1"/>
  <c r="J28" i="76"/>
  <c r="K28" i="76"/>
  <c r="K82" i="76" s="1"/>
  <c r="M30" i="76"/>
  <c r="M31" i="76"/>
  <c r="M83" i="76"/>
  <c r="M29" i="76"/>
  <c r="K81" i="76"/>
  <c r="H44" i="75"/>
  <c r="F75" i="75" a="1"/>
  <c r="F75" i="75" s="1"/>
  <c r="G76" i="75" a="1"/>
  <c r="G76" i="75" s="1"/>
  <c r="G90" i="75" a="1"/>
  <c r="G90" i="75" s="1"/>
  <c r="F89" i="75" a="1"/>
  <c r="F89" i="75" s="1"/>
  <c r="R86" i="75" l="1"/>
  <c r="U86" i="75" a="1"/>
  <c r="J84" i="76"/>
  <c r="J81" i="76"/>
  <c r="J82" i="76"/>
  <c r="R72" i="75"/>
  <c r="Q58" i="75"/>
  <c r="U58" i="75" s="1" a="1"/>
  <c r="U58" i="75" s="1"/>
  <c r="S58" i="75"/>
  <c r="Y86" i="75"/>
  <c r="AM86" i="75" s="1"/>
  <c r="AN86" i="75" s="1"/>
  <c r="Y72" i="75"/>
  <c r="AM72" i="75" s="1"/>
  <c r="AN72" i="75" s="1"/>
  <c r="J44" i="75"/>
  <c r="M28" i="76"/>
  <c r="M82" i="76" s="1"/>
  <c r="G77" i="75" a="1"/>
  <c r="G77" i="75" s="1"/>
  <c r="F90" i="75" a="1"/>
  <c r="F90" i="75" s="1"/>
  <c r="G91" i="75" a="1"/>
  <c r="G91" i="75" s="1"/>
  <c r="F76" i="75" a="1"/>
  <c r="F76" i="75" s="1"/>
  <c r="U86" i="75" l="1"/>
  <c r="AS86" i="75" a="1"/>
  <c r="E87" i="75" s="1" a="1"/>
  <c r="E87" i="75" s="1"/>
  <c r="AW72" i="75"/>
  <c r="AS72" i="75" a="1"/>
  <c r="E73" i="75" s="1" a="1"/>
  <c r="E73" i="75" s="1"/>
  <c r="R58" i="75"/>
  <c r="Y58" i="75"/>
  <c r="AW86" i="75"/>
  <c r="N44" i="75"/>
  <c r="G92" i="75" a="1"/>
  <c r="G92" i="75" s="1"/>
  <c r="F77" i="75" a="1"/>
  <c r="F77" i="75" s="1"/>
  <c r="F91" i="75" a="1"/>
  <c r="F91" i="75" s="1"/>
  <c r="G78" i="75" a="1"/>
  <c r="G78" i="75" s="1"/>
  <c r="AS86" i="75" l="1"/>
  <c r="D87" i="75" s="1" a="1"/>
  <c r="D87" i="75" s="1"/>
  <c r="AS72" i="75"/>
  <c r="D73" i="75" s="1" a="1"/>
  <c r="D73" i="75" s="1"/>
  <c r="J73" i="75" s="1" a="1"/>
  <c r="AM58" i="75"/>
  <c r="S44" i="75"/>
  <c r="Q44" i="75"/>
  <c r="G93" i="75" a="1"/>
  <c r="G93" i="75" s="1"/>
  <c r="F78" i="75" a="1"/>
  <c r="F78" i="75" s="1"/>
  <c r="E88" i="75" a="1"/>
  <c r="E88" i="75" s="1"/>
  <c r="E74" i="75" a="1"/>
  <c r="E74" i="75" s="1"/>
  <c r="G79" i="75" a="1"/>
  <c r="G79" i="75" s="1"/>
  <c r="F92" i="75" a="1"/>
  <c r="F92" i="75" s="1"/>
  <c r="J87" i="75" l="1" a="1"/>
  <c r="J87" i="75" s="1"/>
  <c r="N87" i="75" s="1"/>
  <c r="H87" i="75"/>
  <c r="D88" i="75" a="1"/>
  <c r="D88" i="75" s="1"/>
  <c r="J88" i="75" s="1" a="1"/>
  <c r="J88" i="75" s="1"/>
  <c r="N88" i="75" s="1"/>
  <c r="Q88" i="75" s="1"/>
  <c r="AN58" i="75"/>
  <c r="AS58" i="75" a="1"/>
  <c r="AW58" i="75"/>
  <c r="R44" i="75"/>
  <c r="U44" i="75" s="1" a="1"/>
  <c r="F45" i="75" a="1"/>
  <c r="F45" i="75" s="1"/>
  <c r="G45" i="75" a="1"/>
  <c r="G45" i="75" s="1"/>
  <c r="J73" i="75"/>
  <c r="N73" i="75" s="1"/>
  <c r="H73" i="75"/>
  <c r="D74" i="75" a="1"/>
  <c r="D74" i="75" s="1"/>
  <c r="J74" i="75" s="1" a="1"/>
  <c r="J74" i="75" s="1"/>
  <c r="N74" i="75" s="1"/>
  <c r="Q74" i="75" s="1"/>
  <c r="E89" i="75" a="1"/>
  <c r="E89" i="75" s="1"/>
  <c r="F79" i="75" a="1"/>
  <c r="F79" i="75" s="1"/>
  <c r="F93" i="75" a="1"/>
  <c r="F93" i="75" s="1"/>
  <c r="E75" i="75" a="1"/>
  <c r="E75" i="75" s="1"/>
  <c r="Q87" i="75" l="1"/>
  <c r="S87" i="75"/>
  <c r="H88" i="75"/>
  <c r="D89" i="75" a="1"/>
  <c r="D89" i="75" s="1"/>
  <c r="J89" i="75" s="1" a="1"/>
  <c r="J89" i="75" s="1"/>
  <c r="N89" i="75" s="1"/>
  <c r="Q89" i="75" s="1"/>
  <c r="AS58" i="75"/>
  <c r="D59" i="75" s="1" a="1"/>
  <c r="D59" i="75" s="1"/>
  <c r="E59" i="75" a="1"/>
  <c r="E59" i="75" s="1"/>
  <c r="E60" i="75" s="1" a="1"/>
  <c r="E60" i="75" s="1"/>
  <c r="E61" i="75" s="1" a="1"/>
  <c r="E61" i="75" s="1"/>
  <c r="E62" i="75" s="1" a="1"/>
  <c r="E62" i="75" s="1"/>
  <c r="E63" i="75" s="1" a="1"/>
  <c r="E63" i="75" s="1"/>
  <c r="E64" i="75" s="1" a="1"/>
  <c r="E64" i="75" s="1"/>
  <c r="E65" i="75" s="1" a="1"/>
  <c r="E65" i="75" s="1"/>
  <c r="R88" i="75"/>
  <c r="U88" i="75" a="1"/>
  <c r="U88" i="75" s="1"/>
  <c r="R74" i="75"/>
  <c r="U74" i="75" a="1"/>
  <c r="U74" i="75" s="1"/>
  <c r="Q73" i="75"/>
  <c r="S73" i="75"/>
  <c r="U44" i="75"/>
  <c r="Y44" i="75"/>
  <c r="AM44" i="75" s="1"/>
  <c r="Y74" i="75"/>
  <c r="D75" i="75" a="1"/>
  <c r="D75" i="75" s="1"/>
  <c r="H74" i="75"/>
  <c r="E90" i="75" a="1"/>
  <c r="E90" i="75" s="1"/>
  <c r="E76" i="75" a="1"/>
  <c r="E76" i="75" s="1"/>
  <c r="U87" i="75" l="1" a="1"/>
  <c r="U87" i="75" s="1"/>
  <c r="R87" i="75"/>
  <c r="Y87" i="75"/>
  <c r="AM87" i="75" s="1"/>
  <c r="D90" i="75" a="1"/>
  <c r="D90" i="75" s="1"/>
  <c r="J90" i="75" s="1" a="1"/>
  <c r="H89" i="75"/>
  <c r="D60" i="75" a="1"/>
  <c r="D60" i="75" s="1"/>
  <c r="J60" i="75" s="1" a="1"/>
  <c r="J60" i="75" s="1"/>
  <c r="N60" i="75" s="1"/>
  <c r="Q60" i="75" s="1"/>
  <c r="J59" i="75" a="1"/>
  <c r="J59" i="75" s="1"/>
  <c r="N59" i="75" s="1"/>
  <c r="H59" i="75"/>
  <c r="AK58" i="75"/>
  <c r="AO44" i="75"/>
  <c r="AP44" i="75" s="1"/>
  <c r="AM74" i="75"/>
  <c r="AN74" i="75" s="1"/>
  <c r="R89" i="75"/>
  <c r="U89" i="75" a="1"/>
  <c r="U89" i="75" s="1"/>
  <c r="R73" i="75"/>
  <c r="U73" i="75" a="1"/>
  <c r="U73" i="75" s="1"/>
  <c r="AS44" i="75" a="1"/>
  <c r="D100" i="75"/>
  <c r="AW44" i="75"/>
  <c r="AN44" i="75"/>
  <c r="Y88" i="75"/>
  <c r="Y73" i="75"/>
  <c r="Y89" i="75"/>
  <c r="J75" i="75" a="1"/>
  <c r="J75" i="75" s="1"/>
  <c r="N75" i="75" s="1"/>
  <c r="Q75" i="75" s="1"/>
  <c r="H75" i="75"/>
  <c r="D76" i="75" a="1"/>
  <c r="D76" i="75" s="1"/>
  <c r="D77" i="75" s="1" a="1"/>
  <c r="D77" i="75" s="1"/>
  <c r="E91" i="75" a="1"/>
  <c r="E91" i="75" s="1"/>
  <c r="E77" i="75" a="1"/>
  <c r="E77" i="75" s="1"/>
  <c r="AS87" i="75" l="1" a="1"/>
  <c r="AS87" i="75" s="1"/>
  <c r="H90" i="75"/>
  <c r="D91" i="75" a="1"/>
  <c r="D91" i="75" s="1"/>
  <c r="H60" i="75"/>
  <c r="D61" i="75" a="1"/>
  <c r="D61" i="75" s="1"/>
  <c r="AO58" i="75"/>
  <c r="AK72" i="75"/>
  <c r="AL58" i="75"/>
  <c r="AN87" i="75"/>
  <c r="AM88" i="75"/>
  <c r="AM89" i="75"/>
  <c r="AM73" i="75"/>
  <c r="AW87" i="75"/>
  <c r="R75" i="75"/>
  <c r="U75" i="75" a="1"/>
  <c r="U75" i="75" s="1"/>
  <c r="R60" i="75"/>
  <c r="U60" i="75" a="1"/>
  <c r="Q59" i="75"/>
  <c r="U59" i="75" s="1" a="1"/>
  <c r="S59" i="75"/>
  <c r="E45" i="75" a="1"/>
  <c r="E45" i="75" s="1"/>
  <c r="AS44" i="75"/>
  <c r="J90" i="75"/>
  <c r="N90" i="75" s="1"/>
  <c r="Q90" i="75" s="1"/>
  <c r="AQ44" i="75"/>
  <c r="J77" i="75" a="1"/>
  <c r="J77" i="75" s="1"/>
  <c r="N77" i="75" s="1"/>
  <c r="Q77" i="75" s="1"/>
  <c r="Y75" i="75"/>
  <c r="J76" i="75" a="1"/>
  <c r="J76" i="75" s="1"/>
  <c r="N76" i="75" s="1"/>
  <c r="Q76" i="75" s="1"/>
  <c r="H76" i="75"/>
  <c r="Y60" i="75"/>
  <c r="H77" i="75"/>
  <c r="E92" i="75" a="1"/>
  <c r="E92" i="75" s="1"/>
  <c r="E78" i="75" a="1"/>
  <c r="E78" i="75" s="1"/>
  <c r="H91" i="75" l="1"/>
  <c r="J91" i="75" a="1"/>
  <c r="J91" i="75" s="1"/>
  <c r="N91" i="75" s="1"/>
  <c r="Q91" i="75" s="1"/>
  <c r="AN88" i="75"/>
  <c r="AS88" i="75" a="1"/>
  <c r="H61" i="75"/>
  <c r="J61" i="75" a="1"/>
  <c r="J61" i="75" s="1"/>
  <c r="N61" i="75" s="1"/>
  <c r="Q61" i="75" s="1"/>
  <c r="D62" i="75" a="1"/>
  <c r="D62" i="75" s="1"/>
  <c r="AN73" i="75"/>
  <c r="AS73" i="75" a="1"/>
  <c r="AS73" i="75" s="1"/>
  <c r="AS74" i="75" s="1" a="1"/>
  <c r="AP58" i="75"/>
  <c r="AQ58" i="75" s="1"/>
  <c r="AK86" i="75"/>
  <c r="AO86" i="75" s="1"/>
  <c r="AO72" i="75"/>
  <c r="AN89" i="75"/>
  <c r="AW88" i="75"/>
  <c r="AM75" i="75"/>
  <c r="AN75" i="75" s="1"/>
  <c r="AM60" i="75"/>
  <c r="AN60" i="75" s="1"/>
  <c r="U59" i="75"/>
  <c r="R90" i="75"/>
  <c r="U90" i="75" a="1"/>
  <c r="U90" i="75" s="1"/>
  <c r="R77" i="75"/>
  <c r="U77" i="75" a="1"/>
  <c r="U77" i="75" s="1"/>
  <c r="R76" i="75"/>
  <c r="U76" i="75" a="1"/>
  <c r="U76" i="75" s="1"/>
  <c r="U60" i="75"/>
  <c r="R59" i="75"/>
  <c r="AW73" i="75"/>
  <c r="D45" i="75" a="1"/>
  <c r="D45" i="75" s="1"/>
  <c r="Y90" i="75"/>
  <c r="Y59" i="75"/>
  <c r="Y77" i="75"/>
  <c r="Y76" i="75"/>
  <c r="E93" i="75" a="1"/>
  <c r="E93" i="75" s="1"/>
  <c r="E79" i="75" a="1"/>
  <c r="E79" i="75" s="1"/>
  <c r="R91" i="75" l="1"/>
  <c r="U91" i="75" a="1"/>
  <c r="U91" i="75" s="1"/>
  <c r="AS88" i="75"/>
  <c r="AS89" i="75" s="1" a="1"/>
  <c r="AS89" i="75" s="1"/>
  <c r="R61" i="75"/>
  <c r="U61" i="75" a="1"/>
  <c r="U61" i="75" s="1"/>
  <c r="Y61" i="75"/>
  <c r="AM61" i="75" s="1"/>
  <c r="AN61" i="75" s="1"/>
  <c r="D63" i="75" a="1"/>
  <c r="D63" i="75" s="1"/>
  <c r="H62" i="75"/>
  <c r="J62" i="75" a="1"/>
  <c r="J62" i="75" s="1"/>
  <c r="N62" i="75" s="1"/>
  <c r="Q62" i="75" s="1"/>
  <c r="AL72" i="75"/>
  <c r="AP72" i="75" s="1"/>
  <c r="E100" i="75"/>
  <c r="AW89" i="75"/>
  <c r="AM90" i="75"/>
  <c r="AM77" i="75"/>
  <c r="AN77" i="75" s="1"/>
  <c r="AM76" i="75"/>
  <c r="AN76" i="75" s="1"/>
  <c r="AM59" i="75"/>
  <c r="AN59" i="75" s="1"/>
  <c r="AS74" i="75"/>
  <c r="AS75" i="75" s="1" a="1"/>
  <c r="AW74" i="75"/>
  <c r="J45" i="75" a="1"/>
  <c r="H45" i="75"/>
  <c r="Y91" i="75"/>
  <c r="H63" i="75" l="1"/>
  <c r="J63" i="75" a="1"/>
  <c r="J63" i="75" s="1"/>
  <c r="N63" i="75" s="1"/>
  <c r="Q63" i="75" s="1"/>
  <c r="R62" i="75"/>
  <c r="U62" i="75" a="1"/>
  <c r="U62" i="75" s="1"/>
  <c r="AL86" i="75"/>
  <c r="AQ72" i="75"/>
  <c r="AN90" i="75"/>
  <c r="AM91" i="75"/>
  <c r="AN91" i="75" s="1"/>
  <c r="AW90" i="75"/>
  <c r="AS90" i="75" a="1"/>
  <c r="AS59" i="75" a="1"/>
  <c r="AW75" i="75"/>
  <c r="AS75" i="75"/>
  <c r="AS76" i="75" s="1" a="1"/>
  <c r="AW59" i="75"/>
  <c r="J45" i="75"/>
  <c r="N45" i="75" s="1"/>
  <c r="Y62" i="75"/>
  <c r="Y63" i="75" l="1"/>
  <c r="AM63" i="75" s="1"/>
  <c r="AN63" i="75" s="1"/>
  <c r="R63" i="75"/>
  <c r="U63" i="75" a="1"/>
  <c r="U63" i="75" s="1"/>
  <c r="AS90" i="75"/>
  <c r="AS91" i="75" s="1" a="1"/>
  <c r="AS59" i="75"/>
  <c r="AS60" i="75" s="1" a="1"/>
  <c r="AP86" i="75"/>
  <c r="AM62" i="75"/>
  <c r="AN62" i="75" s="1"/>
  <c r="AW76" i="75"/>
  <c r="AS76" i="75"/>
  <c r="AW60" i="75"/>
  <c r="AW91" i="75"/>
  <c r="Q45" i="75"/>
  <c r="S45" i="75"/>
  <c r="F100" i="75" l="1"/>
  <c r="AQ86" i="75"/>
  <c r="G100" i="75" s="1"/>
  <c r="AS60" i="75"/>
  <c r="AW77" i="75"/>
  <c r="AS77" i="75" a="1"/>
  <c r="AW61" i="75"/>
  <c r="AS91" i="75"/>
  <c r="R45" i="75"/>
  <c r="AS61" i="75" l="1" a="1"/>
  <c r="AS61" i="75" s="1"/>
  <c r="AS62" i="75" s="1" a="1"/>
  <c r="AS77" i="75"/>
  <c r="D78" i="75" s="1" a="1"/>
  <c r="D78" i="75" s="1"/>
  <c r="D92" i="75" a="1"/>
  <c r="D92" i="75" s="1"/>
  <c r="AW62" i="75"/>
  <c r="Y45" i="75"/>
  <c r="AM45" i="75" s="1"/>
  <c r="U45" i="75" a="1"/>
  <c r="AK59" i="75" l="1"/>
  <c r="AO45" i="75"/>
  <c r="AP45" i="75" s="1"/>
  <c r="AL59" i="75" s="1"/>
  <c r="AS62" i="75"/>
  <c r="AS63" i="75" s="1" a="1"/>
  <c r="J92" i="75" a="1"/>
  <c r="J92" i="75" s="1"/>
  <c r="N92" i="75" s="1"/>
  <c r="H92" i="75"/>
  <c r="D93" i="75" a="1"/>
  <c r="D93" i="75" s="1"/>
  <c r="H78" i="75"/>
  <c r="D79" i="75" a="1"/>
  <c r="D79" i="75" s="1"/>
  <c r="J78" i="75" a="1"/>
  <c r="J78" i="75" s="1"/>
  <c r="N78" i="75" s="1"/>
  <c r="AW63" i="75"/>
  <c r="G46" i="75" a="1"/>
  <c r="G46" i="75" s="1"/>
  <c r="U45" i="75"/>
  <c r="D46" i="75" s="1" a="1"/>
  <c r="D46" i="75" s="1"/>
  <c r="F46" i="75" a="1"/>
  <c r="F46" i="75" s="1"/>
  <c r="E46" i="75" a="1"/>
  <c r="E46" i="75" s="1"/>
  <c r="AO59" i="75" l="1"/>
  <c r="AK73" i="75"/>
  <c r="AN45" i="75"/>
  <c r="AS63" i="75"/>
  <c r="Q92" i="75"/>
  <c r="U92" i="75" s="1" a="1"/>
  <c r="U92" i="75" s="1"/>
  <c r="S92" i="75"/>
  <c r="H93" i="75"/>
  <c r="J93" i="75" a="1"/>
  <c r="J93" i="75" s="1"/>
  <c r="N93" i="75" s="1"/>
  <c r="Q93" i="75" s="1"/>
  <c r="U93" i="75" s="1" a="1"/>
  <c r="U93" i="75" s="1"/>
  <c r="H79" i="75"/>
  <c r="J79" i="75" a="1"/>
  <c r="J79" i="75" s="1"/>
  <c r="N79" i="75" s="1"/>
  <c r="Q79" i="75" s="1"/>
  <c r="U79" i="75" s="1" a="1"/>
  <c r="U79" i="75" s="1"/>
  <c r="S78" i="75"/>
  <c r="Q78" i="75"/>
  <c r="U78" i="75" s="1" a="1"/>
  <c r="U78" i="75" s="1"/>
  <c r="H46" i="75"/>
  <c r="J46" i="75" a="1"/>
  <c r="AS45" i="75" a="1"/>
  <c r="AW45" i="75"/>
  <c r="D101" i="75"/>
  <c r="AK87" i="75" l="1"/>
  <c r="AO87" i="75" s="1"/>
  <c r="AO73" i="75"/>
  <c r="AS45" i="75"/>
  <c r="AP59" i="75"/>
  <c r="Y92" i="75"/>
  <c r="R92" i="75"/>
  <c r="Y93" i="75"/>
  <c r="R93" i="75"/>
  <c r="Y79" i="75"/>
  <c r="R79" i="75"/>
  <c r="Y78" i="75"/>
  <c r="R78" i="75"/>
  <c r="J46" i="75"/>
  <c r="N46" i="75" s="1"/>
  <c r="E101" i="75" l="1"/>
  <c r="AL73" i="75"/>
  <c r="AP73" i="75" s="1"/>
  <c r="AQ59" i="75"/>
  <c r="AM92" i="75"/>
  <c r="AW92" i="75" s="1"/>
  <c r="AM93" i="75"/>
  <c r="AM79" i="75"/>
  <c r="AN79" i="75" s="1"/>
  <c r="AM78" i="75"/>
  <c r="D64" i="75" a="1"/>
  <c r="D64" i="75" s="1"/>
  <c r="Q46" i="75"/>
  <c r="AQ45" i="75"/>
  <c r="AN78" i="75" l="1"/>
  <c r="AS78" i="75" a="1"/>
  <c r="AS78" i="75" s="1"/>
  <c r="AQ73" i="75"/>
  <c r="AL87" i="75"/>
  <c r="AN92" i="75"/>
  <c r="AN93" i="75"/>
  <c r="AS92" i="75" a="1"/>
  <c r="AW78" i="75"/>
  <c r="D117" i="75"/>
  <c r="J64" i="75" a="1"/>
  <c r="J64" i="75" s="1"/>
  <c r="N64" i="75" s="1"/>
  <c r="D65" i="75" a="1"/>
  <c r="D65" i="75" s="1"/>
  <c r="H64" i="75"/>
  <c r="D116" i="75"/>
  <c r="AW93" i="75"/>
  <c r="E47" i="75" a="1"/>
  <c r="E47" i="75" s="1"/>
  <c r="F47" i="75" a="1"/>
  <c r="F47" i="75" s="1"/>
  <c r="D47" i="75" a="1"/>
  <c r="D47" i="75" s="1"/>
  <c r="R46" i="75"/>
  <c r="G47" i="75" a="1"/>
  <c r="G47" i="75" s="1"/>
  <c r="AP87" i="75" l="1"/>
  <c r="AQ87" i="75" s="1"/>
  <c r="AS92" i="75"/>
  <c r="AS93" i="75" s="1" a="1"/>
  <c r="AW79" i="75"/>
  <c r="Q64" i="75"/>
  <c r="U64" i="75" s="1" a="1"/>
  <c r="S64" i="75"/>
  <c r="J65" i="75" a="1"/>
  <c r="J65" i="75" s="1"/>
  <c r="N65" i="75" s="1"/>
  <c r="Q65" i="75" s="1"/>
  <c r="U65" i="75" s="1" a="1"/>
  <c r="H65" i="75"/>
  <c r="AS79" i="75" a="1"/>
  <c r="J47" i="75" a="1"/>
  <c r="H47" i="75"/>
  <c r="Y46" i="75"/>
  <c r="AM46" i="75" s="1"/>
  <c r="U46" i="75" a="1"/>
  <c r="U46" i="75" s="1"/>
  <c r="AS93" i="75" l="1"/>
  <c r="AS79" i="75"/>
  <c r="AK60" i="75"/>
  <c r="AO46" i="75"/>
  <c r="AP46" i="75" s="1"/>
  <c r="AL60" i="75" s="1"/>
  <c r="U65" i="75"/>
  <c r="U64" i="75"/>
  <c r="R64" i="75"/>
  <c r="Y64" i="75"/>
  <c r="R65" i="75"/>
  <c r="Y65" i="75"/>
  <c r="J47" i="75"/>
  <c r="N47" i="75" s="1"/>
  <c r="AO60" i="75" l="1"/>
  <c r="AK74" i="75"/>
  <c r="AM64" i="75"/>
  <c r="AN64" i="75" s="1"/>
  <c r="AM65" i="75"/>
  <c r="AN65" i="75" s="1"/>
  <c r="AN46" i="75"/>
  <c r="AS46" i="75" a="1"/>
  <c r="D102" i="75"/>
  <c r="AW46" i="75"/>
  <c r="Q47" i="75"/>
  <c r="AK88" i="75" l="1"/>
  <c r="AO88" i="75" s="1"/>
  <c r="AO74" i="75"/>
  <c r="AP60" i="75"/>
  <c r="G101" i="75"/>
  <c r="F101" i="75"/>
  <c r="AS64" i="75" a="1"/>
  <c r="AW64" i="75"/>
  <c r="D115" i="75"/>
  <c r="AS46" i="75"/>
  <c r="F48" i="75" a="1"/>
  <c r="F48" i="75" s="1"/>
  <c r="E48" i="75" a="1"/>
  <c r="E48" i="75" s="1"/>
  <c r="G48" i="75" a="1"/>
  <c r="G48" i="75" s="1"/>
  <c r="D48" i="75" a="1"/>
  <c r="D48" i="75" s="1"/>
  <c r="R47" i="75"/>
  <c r="E102" i="75" l="1"/>
  <c r="AL74" i="75"/>
  <c r="AP74" i="75" s="1"/>
  <c r="AQ60" i="75"/>
  <c r="AS64" i="75"/>
  <c r="AW65" i="75"/>
  <c r="J48" i="75" a="1"/>
  <c r="J48" i="75" s="1"/>
  <c r="N48" i="75" s="1"/>
  <c r="Q48" i="75" s="1"/>
  <c r="H48" i="75"/>
  <c r="Y47" i="75"/>
  <c r="AM47" i="75" s="1"/>
  <c r="U47" i="75" a="1"/>
  <c r="AQ46" i="75"/>
  <c r="AQ74" i="75" l="1"/>
  <c r="AL88" i="75"/>
  <c r="AK61" i="75"/>
  <c r="AO47" i="75"/>
  <c r="AP47" i="75" s="1"/>
  <c r="AL61" i="75" s="1"/>
  <c r="AS65" i="75" a="1"/>
  <c r="U47" i="75"/>
  <c r="G49" i="75" a="1"/>
  <c r="G49" i="75" s="1"/>
  <c r="E49" i="75" a="1"/>
  <c r="E49" i="75" s="1"/>
  <c r="R48" i="75"/>
  <c r="F49" i="75" a="1"/>
  <c r="F49" i="75" s="1"/>
  <c r="D49" i="75" a="1"/>
  <c r="D49" i="75" s="1"/>
  <c r="AP88" i="75" l="1"/>
  <c r="AQ88" i="75" s="1"/>
  <c r="AO61" i="75"/>
  <c r="AK75" i="75"/>
  <c r="AN47" i="75"/>
  <c r="AS65" i="75"/>
  <c r="AS47" i="75" a="1"/>
  <c r="J49" i="75" a="1"/>
  <c r="J49" i="75" s="1"/>
  <c r="H49" i="75"/>
  <c r="AW47" i="75"/>
  <c r="D103" i="75"/>
  <c r="U48" i="75" a="1"/>
  <c r="Y48" i="75"/>
  <c r="AM48" i="75" s="1"/>
  <c r="AK89" i="75" l="1"/>
  <c r="AO89" i="75" s="1"/>
  <c r="AO75" i="75"/>
  <c r="AS47" i="75"/>
  <c r="AP61" i="75"/>
  <c r="AK62" i="75"/>
  <c r="AO48" i="75"/>
  <c r="AP48" i="75" s="1"/>
  <c r="AL62" i="75" s="1"/>
  <c r="AN48" i="75"/>
  <c r="U48" i="75"/>
  <c r="N49" i="75"/>
  <c r="E103" i="75" l="1"/>
  <c r="AS48" i="75" a="1"/>
  <c r="AS48" i="75" s="1"/>
  <c r="AO62" i="75"/>
  <c r="AK76" i="75"/>
  <c r="AL75" i="75"/>
  <c r="AP75" i="75" s="1"/>
  <c r="AQ61" i="75"/>
  <c r="AW48" i="75"/>
  <c r="D104" i="75"/>
  <c r="AQ47" i="75"/>
  <c r="Q49" i="75"/>
  <c r="G50" i="75" s="1" a="1"/>
  <c r="G50" i="75" s="1"/>
  <c r="AK90" i="75" l="1"/>
  <c r="AO90" i="75" s="1"/>
  <c r="AO76" i="75"/>
  <c r="AQ75" i="75"/>
  <c r="AL89" i="75"/>
  <c r="AP62" i="75"/>
  <c r="F102" i="75"/>
  <c r="G102" i="75"/>
  <c r="R49" i="75"/>
  <c r="U49" i="75" s="1" a="1"/>
  <c r="F50" i="75" a="1"/>
  <c r="F50" i="75" s="1"/>
  <c r="E50" i="75" a="1"/>
  <c r="E50" i="75" s="1"/>
  <c r="E104" i="75" l="1"/>
  <c r="AP89" i="75"/>
  <c r="AQ89" i="75" s="1"/>
  <c r="AL76" i="75"/>
  <c r="AP76" i="75" s="1"/>
  <c r="AQ62" i="75"/>
  <c r="AQ48" i="75"/>
  <c r="U49" i="75"/>
  <c r="Y49" i="75"/>
  <c r="AM49" i="75" s="1"/>
  <c r="AQ76" i="75" l="1"/>
  <c r="AL90" i="75"/>
  <c r="AK63" i="75"/>
  <c r="AO49" i="75"/>
  <c r="AP49" i="75" s="1"/>
  <c r="AL63" i="75" s="1"/>
  <c r="AP90" i="75" l="1"/>
  <c r="AQ90" i="75" s="1"/>
  <c r="AO63" i="75"/>
  <c r="AK77" i="75"/>
  <c r="AW49" i="75"/>
  <c r="AS49" i="75" a="1"/>
  <c r="D105" i="75"/>
  <c r="AN49" i="75"/>
  <c r="AK91" i="75" l="1"/>
  <c r="AO91" i="75" s="1"/>
  <c r="AO77" i="75"/>
  <c r="AP63" i="75"/>
  <c r="G103" i="75"/>
  <c r="F103" i="75"/>
  <c r="AS49" i="75"/>
  <c r="E105" i="75" l="1"/>
  <c r="AL77" i="75"/>
  <c r="AP77" i="75" s="1"/>
  <c r="AQ77" i="75" s="1"/>
  <c r="AQ63" i="75"/>
  <c r="D50" i="75" a="1"/>
  <c r="D50" i="75" s="1"/>
  <c r="AQ49" i="75"/>
  <c r="AL91" i="75" l="1"/>
  <c r="G104" i="75"/>
  <c r="F104" i="75"/>
  <c r="H50" i="75"/>
  <c r="J50" i="75" a="1"/>
  <c r="AP91" i="75" l="1"/>
  <c r="AQ91" i="75" s="1"/>
  <c r="J50" i="75"/>
  <c r="N50" i="75" l="1"/>
  <c r="Q50" i="75" l="1"/>
  <c r="S50" i="75"/>
  <c r="G105" i="75" l="1"/>
  <c r="F105" i="75"/>
  <c r="R50" i="75"/>
  <c r="U50" i="75" s="1" a="1"/>
  <c r="E51" i="75" s="1" a="1"/>
  <c r="E51" i="75" s="1"/>
  <c r="D51" i="75" a="1"/>
  <c r="D51" i="75" s="1"/>
  <c r="U50" i="75" l="1"/>
  <c r="G51" i="75" a="1"/>
  <c r="G51" i="75" s="1"/>
  <c r="Y50" i="75"/>
  <c r="AM50" i="75" s="1"/>
  <c r="F51" i="75" a="1"/>
  <c r="F51" i="75" s="1"/>
  <c r="AK64" i="75" l="1"/>
  <c r="AO50" i="75"/>
  <c r="AP50" i="75" s="1"/>
  <c r="H51" i="75"/>
  <c r="J51" i="75" a="1"/>
  <c r="AO64" i="75" l="1"/>
  <c r="AK78" i="75"/>
  <c r="AL64" i="75"/>
  <c r="AS50" i="75" a="1"/>
  <c r="AN50" i="75"/>
  <c r="J51" i="75"/>
  <c r="D106" i="75"/>
  <c r="AW50" i="75"/>
  <c r="AK92" i="75" l="1"/>
  <c r="AO92" i="75" s="1"/>
  <c r="AO78" i="75"/>
  <c r="AS50" i="75"/>
  <c r="AP64" i="75"/>
  <c r="AQ64" i="75" s="1"/>
  <c r="N51" i="75"/>
  <c r="AQ50" i="75"/>
  <c r="E106" i="75" l="1"/>
  <c r="AL78" i="75"/>
  <c r="AP78" i="75" s="1"/>
  <c r="Q51" i="75"/>
  <c r="R51" i="75" s="1"/>
  <c r="AQ78" i="75" l="1"/>
  <c r="AL92" i="75"/>
  <c r="Y51" i="75"/>
  <c r="AM51" i="75" s="1"/>
  <c r="U51" i="75" a="1"/>
  <c r="AP92" i="75" l="1"/>
  <c r="AK65" i="75"/>
  <c r="AO51" i="75"/>
  <c r="AP51" i="75" s="1"/>
  <c r="AL65" i="75" s="1"/>
  <c r="E146" i="75" a="1"/>
  <c r="U51" i="75"/>
  <c r="E146" i="75" l="1"/>
  <c r="D170" i="75" s="1"/>
  <c r="F106" i="75"/>
  <c r="AQ92" i="75"/>
  <c r="G106" i="75" s="1"/>
  <c r="AO65" i="75"/>
  <c r="AK79" i="75"/>
  <c r="AS51" i="75" a="1"/>
  <c r="D114" i="75"/>
  <c r="D168" i="75" s="1"/>
  <c r="AW51" i="75"/>
  <c r="AN51" i="75"/>
  <c r="D107" i="75"/>
  <c r="AK93" i="75" l="1"/>
  <c r="AO93" i="75" s="1"/>
  <c r="E117" i="75" s="1"/>
  <c r="AO79" i="75"/>
  <c r="F146" i="75" s="1" a="1"/>
  <c r="AS51" i="75"/>
  <c r="E115" i="75"/>
  <c r="AP65" i="75"/>
  <c r="D167" i="75"/>
  <c r="E114" i="75"/>
  <c r="F146" i="75" l="1"/>
  <c r="E170" i="75" s="1"/>
  <c r="E107" i="75"/>
  <c r="E116" i="75"/>
  <c r="E168" i="75" s="1"/>
  <c r="E124" i="75" a="1"/>
  <c r="E124" i="75" s="1"/>
  <c r="E169" i="75" s="1"/>
  <c r="AL79" i="75"/>
  <c r="AP79" i="75" s="1"/>
  <c r="AQ65" i="75"/>
  <c r="Q14" i="76"/>
  <c r="S20" i="76"/>
  <c r="S19" i="76"/>
  <c r="S18" i="76"/>
  <c r="S17" i="76"/>
  <c r="S16" i="76"/>
  <c r="S15" i="76"/>
  <c r="S14" i="76"/>
  <c r="R20" i="76"/>
  <c r="R19" i="76"/>
  <c r="R18" i="76"/>
  <c r="R17" i="76"/>
  <c r="R16" i="76"/>
  <c r="R15" i="76"/>
  <c r="R14" i="76"/>
  <c r="Q20" i="76"/>
  <c r="Q19" i="76"/>
  <c r="Q18" i="76"/>
  <c r="Q17" i="76"/>
  <c r="Q16" i="76"/>
  <c r="Q15" i="76"/>
  <c r="P19" i="76"/>
  <c r="P18" i="76"/>
  <c r="P20" i="76"/>
  <c r="P17" i="76"/>
  <c r="P15" i="76"/>
  <c r="P16" i="76"/>
  <c r="P14" i="76"/>
  <c r="J23" i="76"/>
  <c r="F114" i="75"/>
  <c r="AQ51" i="75"/>
  <c r="G114" i="75" s="1"/>
  <c r="E167" i="75" l="1"/>
  <c r="AQ79" i="75"/>
  <c r="AL93" i="75"/>
  <c r="AP93" i="75" l="1"/>
  <c r="AQ93" i="75" s="1"/>
  <c r="G115" i="75"/>
  <c r="F115" i="75"/>
  <c r="F116" i="75" l="1"/>
  <c r="F117" i="75"/>
  <c r="F107" i="75"/>
  <c r="G146" i="75" a="1"/>
  <c r="F124" i="75" a="1"/>
  <c r="F124" i="75" s="1"/>
  <c r="F167" i="75" l="1"/>
  <c r="F168" i="75"/>
  <c r="H146" i="75" a="1"/>
  <c r="G116" i="75"/>
  <c r="G146" i="75"/>
  <c r="F170" i="75" s="1"/>
  <c r="G107" i="75"/>
  <c r="B14" i="76" s="1" a="1"/>
  <c r="G117" i="75"/>
  <c r="F169" i="75"/>
  <c r="S21" i="76" l="1"/>
  <c r="Q21" i="76"/>
  <c r="R21" i="76"/>
  <c r="P21" i="76"/>
  <c r="B14" i="76"/>
  <c r="G124" i="75" a="1"/>
  <c r="G124" i="75" s="1"/>
  <c r="G167" i="75"/>
  <c r="H146" i="75"/>
  <c r="G168" i="75"/>
  <c r="B28" i="76" a="1"/>
  <c r="B28" i="76" s="1"/>
  <c r="S31" i="76"/>
  <c r="R31" i="76"/>
  <c r="Q31" i="76"/>
  <c r="S30" i="76"/>
  <c r="R30" i="76"/>
  <c r="Q30" i="76"/>
  <c r="S29" i="76"/>
  <c r="R29" i="76"/>
  <c r="Q29" i="76"/>
  <c r="S28" i="76"/>
  <c r="R28" i="76"/>
  <c r="Q28" i="76"/>
  <c r="P46" i="76"/>
  <c r="P45" i="76"/>
  <c r="P44" i="76"/>
  <c r="P43" i="76"/>
  <c r="P42" i="76"/>
  <c r="P41" i="76"/>
  <c r="P40" i="76"/>
  <c r="P39" i="76"/>
  <c r="P38" i="76"/>
  <c r="P30" i="76"/>
  <c r="P29" i="76"/>
  <c r="P31" i="76"/>
  <c r="P28" i="76"/>
  <c r="P64" i="76"/>
  <c r="P67" i="76"/>
  <c r="P61" i="76"/>
  <c r="P66" i="76"/>
  <c r="P70" i="76"/>
  <c r="P71" i="76"/>
  <c r="P62" i="76"/>
  <c r="P65" i="76"/>
  <c r="P68" i="76"/>
  <c r="P69" i="76"/>
  <c r="P63" i="76"/>
  <c r="P60" i="76"/>
  <c r="B60" i="76" l="1" a="1"/>
  <c r="G170" i="75"/>
  <c r="G169" i="75"/>
  <c r="B38" i="76" a="1"/>
  <c r="B38" i="76" s="1"/>
  <c r="J94" i="76" a="1"/>
  <c r="J94" i="76" s="1"/>
  <c r="L89" i="76"/>
  <c r="K91" i="76"/>
  <c r="M90" i="76"/>
  <c r="M91" i="76"/>
  <c r="M88" i="76"/>
  <c r="L91" i="76"/>
  <c r="K89" i="76"/>
  <c r="L88" i="76"/>
  <c r="K88" i="76"/>
  <c r="J91" i="76"/>
  <c r="J88" i="76"/>
  <c r="J89" i="76"/>
  <c r="M89" i="76"/>
  <c r="B60" i="76" l="1"/>
  <c r="B81" i="76" a="1"/>
  <c r="B81" i="76" s="1"/>
  <c r="J93" i="76"/>
  <c r="J95" i="7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<sst xmlns="http://schemas.openxmlformats.org/spreadsheetml/2006/main" count="1425" uniqueCount="506">
  <si>
    <t>level_1</t>
  </si>
  <si>
    <t>lob_type</t>
  </si>
  <si>
    <t>lob</t>
  </si>
  <si>
    <t>gross_p</t>
  </si>
  <si>
    <t>gross_p_last</t>
  </si>
  <si>
    <t>gross_p_last_24</t>
  </si>
  <si>
    <t>gross_fp_existing</t>
  </si>
  <si>
    <t>gross_fp_future</t>
  </si>
  <si>
    <t>gross_claim</t>
  </si>
  <si>
    <t>gross_other</t>
  </si>
  <si>
    <t>net_p</t>
  </si>
  <si>
    <t>net_p_last</t>
  </si>
  <si>
    <t>net_p_last_24</t>
  </si>
  <si>
    <t>net_fp_existing</t>
  </si>
  <si>
    <t>net_fp_future</t>
  </si>
  <si>
    <t>net_claim</t>
  </si>
  <si>
    <t>net_other</t>
  </si>
  <si>
    <t>include_factor_cat</t>
  </si>
  <si>
    <t>reinsurance_id</t>
  </si>
  <si>
    <t>ri_structure</t>
  </si>
  <si>
    <t>D</t>
  </si>
  <si>
    <t>1a</t>
  </si>
  <si>
    <t>Y</t>
  </si>
  <si>
    <t>N</t>
  </si>
  <si>
    <t>prop_pers</t>
  </si>
  <si>
    <t>motor</t>
  </si>
  <si>
    <t>prop</t>
  </si>
  <si>
    <t>non_prop_1</t>
  </si>
  <si>
    <t>xol</t>
  </si>
  <si>
    <t>non_prop_2</t>
  </si>
  <si>
    <t>non_prop_3</t>
  </si>
  <si>
    <t>non_prop_4</t>
  </si>
  <si>
    <t>non_prop_5</t>
  </si>
  <si>
    <t>non_prop_6</t>
  </si>
  <si>
    <t>prop_other</t>
  </si>
  <si>
    <t>prop_comm</t>
  </si>
  <si>
    <t>counterparty_id</t>
  </si>
  <si>
    <t>counterparty_share</t>
  </si>
  <si>
    <t>1b</t>
  </si>
  <si>
    <t>2a</t>
  </si>
  <si>
    <t>2b</t>
  </si>
  <si>
    <t>3i</t>
  </si>
  <si>
    <t>3ii</t>
  </si>
  <si>
    <t>3iii</t>
  </si>
  <si>
    <t>4i</t>
  </si>
  <si>
    <t>4ii</t>
  </si>
  <si>
    <t>5i</t>
  </si>
  <si>
    <t>5ii</t>
  </si>
  <si>
    <t>6i</t>
  </si>
  <si>
    <t>6ii</t>
  </si>
  <si>
    <t>7i</t>
  </si>
  <si>
    <t>7ii</t>
  </si>
  <si>
    <t>8i</t>
  </si>
  <si>
    <t>8ii</t>
  </si>
  <si>
    <t>10i</t>
  </si>
  <si>
    <t>10ii</t>
  </si>
  <si>
    <t>10iii</t>
  </si>
  <si>
    <t>10iv</t>
  </si>
  <si>
    <t>10v</t>
  </si>
  <si>
    <t>10vi</t>
  </si>
  <si>
    <t>10vii</t>
  </si>
  <si>
    <t>16i</t>
  </si>
  <si>
    <t>16ii</t>
  </si>
  <si>
    <t>16iii</t>
  </si>
  <si>
    <t>17i</t>
  </si>
  <si>
    <t>17ii</t>
  </si>
  <si>
    <t>17iii</t>
  </si>
  <si>
    <t>17iv</t>
  </si>
  <si>
    <t>18b</t>
  </si>
  <si>
    <t>18c</t>
  </si>
  <si>
    <t>prem</t>
  </si>
  <si>
    <t>res</t>
  </si>
  <si>
    <t>P</t>
  </si>
  <si>
    <t>9</t>
  </si>
  <si>
    <t>11</t>
  </si>
  <si>
    <t>12</t>
  </si>
  <si>
    <t>13</t>
  </si>
  <si>
    <t>14</t>
  </si>
  <si>
    <t>15</t>
  </si>
  <si>
    <t>NP</t>
  </si>
  <si>
    <t>O</t>
  </si>
  <si>
    <t>Premium and Reserve Risk</t>
  </si>
  <si>
    <t>factor</t>
  </si>
  <si>
    <t>1a;1b;2a;2b;3ii;3iii;4ii;8i</t>
  </si>
  <si>
    <t>D;P;FP</t>
  </si>
  <si>
    <t>1a;1b;2a;2b;3ii;3iii</t>
  </si>
  <si>
    <t>5i;6i;7i</t>
  </si>
  <si>
    <t>4i;5ii;6ii;7ii;8ii;10iii;10vii</t>
  </si>
  <si>
    <t>11;12;13</t>
  </si>
  <si>
    <t>18b;18e</t>
  </si>
  <si>
    <t>NP:FNP</t>
  </si>
  <si>
    <t>18c;18f</t>
  </si>
  <si>
    <t>O;FO</t>
  </si>
  <si>
    <t>P;FP</t>
  </si>
  <si>
    <t>NP;FNP</t>
  </si>
  <si>
    <t>peril</t>
  </si>
  <si>
    <t>level_2</t>
  </si>
  <si>
    <t>cqs</t>
  </si>
  <si>
    <t>duration</t>
  </si>
  <si>
    <t>down_shock</t>
  </si>
  <si>
    <t>up_shock</t>
  </si>
  <si>
    <t>1a;1b;2a;2b;3i;3ii;3iii;4i;4ii;5i;5ii;6i;6ii;7i;7ii;8i;8ii;15;16i;16ii;16iii;17i;17ii;17iii;17iv;18b;18c</t>
  </si>
  <si>
    <t>np_cctcg</t>
  </si>
  <si>
    <t>np_property</t>
  </si>
  <si>
    <t>f_non_prop_accident_health</t>
  </si>
  <si>
    <t>f_storm</t>
  </si>
  <si>
    <t>f_flood</t>
  </si>
  <si>
    <t>f_earthquake</t>
  </si>
  <si>
    <t>f_hail</t>
  </si>
  <si>
    <t>f_major_fire_explosion</t>
  </si>
  <si>
    <t>f_marine_aviation_transit</t>
  </si>
  <si>
    <t>f_prof_liability</t>
  </si>
  <si>
    <t>f_public_laibility</t>
  </si>
  <si>
    <t>f_employer_liability</t>
  </si>
  <si>
    <t>f_officer_liability</t>
  </si>
  <si>
    <t>f_product_liability</t>
  </si>
  <si>
    <t>f_other_liability</t>
  </si>
  <si>
    <t>f_credit_guarantee</t>
  </si>
  <si>
    <t>f_miscellaneous</t>
  </si>
  <si>
    <t>f_non_prop_other</t>
  </si>
  <si>
    <t>f_other_risk_mitigation</t>
  </si>
  <si>
    <t>f_accident_health</t>
  </si>
  <si>
    <t>Function Name</t>
  </si>
  <si>
    <t>Category</t>
  </si>
  <si>
    <t>Argument 1</t>
  </si>
  <si>
    <t>Argument 2</t>
  </si>
  <si>
    <t>Argument 3</t>
  </si>
  <si>
    <t>Argument 4</t>
  </si>
  <si>
    <t>Argument 5</t>
  </si>
  <si>
    <t>Argument 6</t>
  </si>
  <si>
    <t>Argument 7</t>
  </si>
  <si>
    <t>Description</t>
  </si>
  <si>
    <t>PremRes</t>
  </si>
  <si>
    <t>The premium and reserve risk data.</t>
  </si>
  <si>
    <t>The counterparty data, detailing the shares held by each reinsurer.</t>
  </si>
  <si>
    <t>Optional, the number of levels to include in the calculation.</t>
  </si>
  <si>
    <t>Factor Based Charges</t>
  </si>
  <si>
    <t>Premium and Reserve Risk Factors</t>
  </si>
  <si>
    <t>Interest Rate Curves Shocks</t>
  </si>
  <si>
    <t>Spread Risk Charges</t>
  </si>
  <si>
    <t>Index</t>
  </si>
  <si>
    <t>Earthquake Charges</t>
  </si>
  <si>
    <t>RES</t>
  </si>
  <si>
    <t>CCI</t>
  </si>
  <si>
    <t>Contents</t>
  </si>
  <si>
    <t>ENG</t>
  </si>
  <si>
    <t>Motor</t>
  </si>
  <si>
    <t>Correlation Matrix</t>
  </si>
  <si>
    <t>Cover</t>
  </si>
  <si>
    <t>Charge</t>
  </si>
  <si>
    <t>Residential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</si>
  <si>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</si>
  <si>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</si>
  <si>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</si>
  <si>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</si>
  <si>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</si>
  <si>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</si>
  <si>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</si>
  <si>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</si>
  <si>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</si>
  <si>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</si>
  <si>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</si>
  <si>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</si>
  <si>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</si>
  <si>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</si>
  <si>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</si>
  <si>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</si>
  <si>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</si>
  <si>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</si>
  <si>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</si>
  <si>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Commercial</t>
  </si>
  <si>
    <t>Engineering</t>
  </si>
  <si>
    <t>Charges</t>
  </si>
  <si>
    <t>URN</t>
  </si>
  <si>
    <t>Hail Charges</t>
  </si>
  <si>
    <t>RCI</t>
  </si>
  <si>
    <t>Zone Mapping</t>
  </si>
  <si>
    <t>Post Code</t>
  </si>
  <si>
    <t>Zone</t>
  </si>
  <si>
    <t>This zone is not explicit in the calculation</t>
  </si>
  <si>
    <t>include_np_cat</t>
  </si>
  <si>
    <t>Performs the SAM premium and reserve risk calculation.</t>
  </si>
  <si>
    <t>Premium and Reserve Risk Inputs</t>
  </si>
  <si>
    <t>Inputs</t>
  </si>
  <si>
    <t>Outputs</t>
  </si>
  <si>
    <t>Metadata</t>
  </si>
  <si>
    <t>Help File</t>
  </si>
  <si>
    <t>https://github.com/clive-africa/magnus/wiki/Premium-Reserve</t>
  </si>
  <si>
    <t>company_a</t>
  </si>
  <si>
    <t>company_b</t>
  </si>
  <si>
    <t>company_c</t>
  </si>
  <si>
    <t>company_d</t>
  </si>
  <si>
    <t>company_e</t>
  </si>
  <si>
    <t>company_g</t>
  </si>
  <si>
    <t>direct</t>
  </si>
  <si>
    <t>intermediated</t>
  </si>
  <si>
    <t>specialised</t>
  </si>
  <si>
    <t>partnerships</t>
  </si>
  <si>
    <t>gauteng</t>
  </si>
  <si>
    <t>kzn</t>
  </si>
  <si>
    <t>western cape</t>
  </si>
  <si>
    <t>limpopo</t>
  </si>
  <si>
    <t>north west</t>
  </si>
  <si>
    <t>northern cape</t>
  </si>
  <si>
    <t>free state</t>
  </si>
  <si>
    <t>eastern cape</t>
  </si>
  <si>
    <t>Magnus SCR Calculation Tool</t>
  </si>
  <si>
    <t>Reconciliation</t>
  </si>
  <si>
    <t>Notes</t>
  </si>
  <si>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</si>
  <si>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</si>
  <si>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</si>
  <si>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</si>
  <si>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</si>
  <si>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</si>
  <si>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</si>
  <si>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</si>
  <si>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</si>
  <si>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2025 Clive Hogarth</t>
  </si>
  <si>
    <t xml:space="preserve">                                 Apache License</t>
  </si>
  <si>
    <t xml:space="preserve">                           Version 2.0, January 2004</t>
  </si>
  <si>
    <t xml:space="preserve">                        http://www.apache.org/licenses/</t>
  </si>
  <si>
    <t xml:space="preserve">   TERMS AND CONDITIONS FOR USE, REPRODUCTION, AND DISTRIBUTION</t>
  </si>
  <si>
    <t xml:space="preserve">   1. Definitions.</t>
  </si>
  <si>
    <t xml:space="preserve">      "License" shall mean the terms and conditions for use, reproduction,</t>
  </si>
  <si>
    <t xml:space="preserve">      and distribution as defined by Sections 1 through 9 of this document.</t>
  </si>
  <si>
    <t xml:space="preserve">      "Licensor" shall mean the copyright owner or entity authorized by</t>
  </si>
  <si>
    <t xml:space="preserve">      the copyright owner that is granting the License.</t>
  </si>
  <si>
    <t xml:space="preserve">      "Legal Entity" shall mean the union of the acting entity and all</t>
  </si>
  <si>
    <t xml:space="preserve">      other entities that control, are controlled by, or are under common</t>
  </si>
  <si>
    <t xml:space="preserve">      control with that entity. For the purposes of this definition,</t>
  </si>
  <si>
    <t xml:space="preserve">      "control" means (i) the power, direct or indirect, to cause the</t>
  </si>
  <si>
    <t xml:space="preserve">      direction or management of such entity, whether by contract or</t>
  </si>
  <si>
    <t xml:space="preserve">      otherwise, or (ii) ownership of fifty percent (50%) or more of the</t>
  </si>
  <si>
    <t xml:space="preserve">      outstanding shares, or (iii) beneficial ownership of such entity.</t>
  </si>
  <si>
    <t xml:space="preserve">      "You" (or "Your") shall mean an individual or Legal Entity</t>
  </si>
  <si>
    <t xml:space="preserve">      exercising permissions granted by this License.</t>
  </si>
  <si>
    <t xml:space="preserve">      "Source" form shall mean the preferred form for making modifications,</t>
  </si>
  <si>
    <t xml:space="preserve">      including but not limited to software source code, documentation</t>
  </si>
  <si>
    <t xml:space="preserve">      source, and configuration files.</t>
  </si>
  <si>
    <t xml:space="preserve">      "Object" form shall mean any form resulting from mechanical</t>
  </si>
  <si>
    <t xml:space="preserve">      transformation or translation of a Source form, including but</t>
  </si>
  <si>
    <t xml:space="preserve">      not limited to compiled object code, generated documentation,</t>
  </si>
  <si>
    <t xml:space="preserve">      and conversions to other media types.</t>
  </si>
  <si>
    <t xml:space="preserve">      "Work" shall mean the work of authorship, whether in Source or</t>
  </si>
  <si>
    <t xml:space="preserve">      Object form, made available under the License, as indicated by a</t>
  </si>
  <si>
    <t xml:space="preserve">      copyright notice that is included in or attached to the work</t>
  </si>
  <si>
    <t xml:space="preserve">      (an example is provided in the Appendix below).</t>
  </si>
  <si>
    <t xml:space="preserve">      "Derivative Works" shall mean any work, whether in Source or Object</t>
  </si>
  <si>
    <t xml:space="preserve">      form, that is based on (or derived from) the Work and for which the</t>
  </si>
  <si>
    <t xml:space="preserve">      editorial revisions, annotations, elaborations, or other modifications</t>
  </si>
  <si>
    <t xml:space="preserve">      represent, as a whole, an original work of authorship. For the purposes</t>
  </si>
  <si>
    <t xml:space="preserve">      of this License, Derivative Works shall not include works that remain</t>
  </si>
  <si>
    <t xml:space="preserve">      separable from, or merely link (or bind by name) to the interfaces of,</t>
  </si>
  <si>
    <t xml:space="preserve">      the Work and Derivative Works thereof.</t>
  </si>
  <si>
    <t xml:space="preserve">      "Contribution" shall mean any work of authorship, including</t>
  </si>
  <si>
    <t xml:space="preserve">      the original version of the Work and any modifications or additions</t>
  </si>
  <si>
    <t xml:space="preserve">      to that Work or Derivative Works thereof, that is intentionally</t>
  </si>
  <si>
    <t xml:space="preserve">      submitted to Licensor for inclusion in the Work by the copyright owner</t>
  </si>
  <si>
    <t xml:space="preserve">      or by an individual or Legal Entity authorized to submit on behalf of</t>
  </si>
  <si>
    <t xml:space="preserve">      the copyright owner. For the purposes of this definition, "submitted"</t>
  </si>
  <si>
    <t xml:space="preserve">      means any form of electronic, verbal, or written communication sent</t>
  </si>
  <si>
    <t xml:space="preserve">      to the Licensor or its representatives, including but not limited to</t>
  </si>
  <si>
    <t xml:space="preserve">      communication on electronic mailing lists, source code control systems,</t>
  </si>
  <si>
    <t xml:space="preserve">      and issue tracking systems that are managed by, or on behalf of, the</t>
  </si>
  <si>
    <t xml:space="preserve">      Licensor for the purpose of discussing and improving the Work, but</t>
  </si>
  <si>
    <t xml:space="preserve">      excluding communication that is conspicuously marked or otherwise</t>
  </si>
  <si>
    <t xml:space="preserve">      designated in writing by the copyright owner as "Not a Contribution."</t>
  </si>
  <si>
    <t xml:space="preserve">      "Contributor" shall mean Licensor and any individual or Legal Entity</t>
  </si>
  <si>
    <t xml:space="preserve">      on behalf of whom a Contribution has been received by Licensor and</t>
  </si>
  <si>
    <t xml:space="preserve">      subsequently incorporated within the Work.</t>
  </si>
  <si>
    <t xml:space="preserve">   2. Grant of Copyright License. Subject to the terms and conditions of</t>
  </si>
  <si>
    <t xml:space="preserve">      this License, each Contributor hereby grants to You a perpetual,</t>
  </si>
  <si>
    <t xml:space="preserve">      worldwide, non-exclusive, no-charge, royalty-free, irrevocable</t>
  </si>
  <si>
    <t xml:space="preserve">      copyright license to reproduce, prepare Derivative Works of,</t>
  </si>
  <si>
    <t xml:space="preserve">      publicly display, publicly perform, sublicense, and distribute the</t>
  </si>
  <si>
    <t xml:space="preserve">      Work and such Derivative Works in Source or Object form.</t>
  </si>
  <si>
    <t xml:space="preserve">   3. Grant of Patent License. Subject to the terms and conditions of</t>
  </si>
  <si>
    <t xml:space="preserve">      (except as stated in this section) patent license to make, have made,</t>
  </si>
  <si>
    <t xml:space="preserve">      use, offer to sell, sell, import, and otherwise transfer the Work,</t>
  </si>
  <si>
    <t xml:space="preserve">      where such license applies only to those patent claims licensable</t>
  </si>
  <si>
    <t xml:space="preserve">      by such Contributor that are necessarily infringed by their</t>
  </si>
  <si>
    <t xml:space="preserve">      Contribution(s) alone or by combination of their Contribution(s)</t>
  </si>
  <si>
    <t xml:space="preserve">      with the Work to which such Contribution(s) was submitted. If You</t>
  </si>
  <si>
    <t xml:space="preserve">      institute patent litigation against any entity (including a</t>
  </si>
  <si>
    <t xml:space="preserve">      cross-claim or counterclaim in a lawsuit) alleging that the Work</t>
  </si>
  <si>
    <t xml:space="preserve">      or a Contribution incorporated within the Work constitutes direct</t>
  </si>
  <si>
    <t xml:space="preserve">      or contributory patent infringement, then any patent licenses</t>
  </si>
  <si>
    <t xml:space="preserve">      granted to You under this License for that Work shall terminate</t>
  </si>
  <si>
    <t xml:space="preserve">      as of the date such litigation is filed.</t>
  </si>
  <si>
    <t xml:space="preserve">   4. Redistribution. You may reproduce and distribute copies of the</t>
  </si>
  <si>
    <t xml:space="preserve">      Work or Derivative Works thereof in any medium, with or without</t>
  </si>
  <si>
    <t xml:space="preserve">      modifications, and in Source or Object form, provided that You</t>
  </si>
  <si>
    <t xml:space="preserve">      meet the following conditions:</t>
  </si>
  <si>
    <t xml:space="preserve">      (a) You must give any other recipients of the Work or</t>
  </si>
  <si>
    <t xml:space="preserve">          Derivative Works a copy of this License; and</t>
  </si>
  <si>
    <t xml:space="preserve">      (b) You must cause any modified files to carry prominent notices</t>
  </si>
  <si>
    <t xml:space="preserve">          stating that You changed the files; and</t>
  </si>
  <si>
    <t xml:space="preserve">      (c) You must retain, in the Source form of any Derivative Works</t>
  </si>
  <si>
    <t xml:space="preserve">          that You distribute, all copyright, patent, trademark, and</t>
  </si>
  <si>
    <t xml:space="preserve">          attribution notices from the Source form of the Work,</t>
  </si>
  <si>
    <t xml:space="preserve">          excluding those notices that do not pertain to any part of</t>
  </si>
  <si>
    <t xml:space="preserve">          the Derivative Works; and</t>
  </si>
  <si>
    <t xml:space="preserve">      (d) If the Work includes a "NOTICE" text file as part of its</t>
  </si>
  <si>
    <t xml:space="preserve">          distribution, then any Derivative Works that You distribute must</t>
  </si>
  <si>
    <t xml:space="preserve">          include a readable copy of the attribution notices contained</t>
  </si>
  <si>
    <t xml:space="preserve">          within such NOTICE file, excluding those notices that do not</t>
  </si>
  <si>
    <t xml:space="preserve">          pertain to any part of the Derivative Works, in at least one</t>
  </si>
  <si>
    <t xml:space="preserve">          of the following places: within a NOTICE text file distributed</t>
  </si>
  <si>
    <t xml:space="preserve">          as part of the Derivative Works; within the Source form or</t>
  </si>
  <si>
    <t xml:space="preserve">          documentation, if provided along with the Derivative Works; or,</t>
  </si>
  <si>
    <t xml:space="preserve">          within a display generated by the Derivative Works, if and</t>
  </si>
  <si>
    <t xml:space="preserve">          wherever such third-party notices normally appear. The contents</t>
  </si>
  <si>
    <t xml:space="preserve">          of the NOTICE file are for informational purposes only and</t>
  </si>
  <si>
    <t xml:space="preserve">          do not modify the License. You may add Your own attribution</t>
  </si>
  <si>
    <t xml:space="preserve">          notices within Derivative Works that You distribute, alongside</t>
  </si>
  <si>
    <t xml:space="preserve">          or as an addendum to the NOTICE text from the Work, provided</t>
  </si>
  <si>
    <t xml:space="preserve">          that such additional attribution notices cannot be construed</t>
  </si>
  <si>
    <t xml:space="preserve">          as modifying the License.</t>
  </si>
  <si>
    <t xml:space="preserve">      You may add Your own copyright statement to Your modifications and</t>
  </si>
  <si>
    <t xml:space="preserve">      may provide additional or different license terms and conditions</t>
  </si>
  <si>
    <t xml:space="preserve">      for use, reproduction, or distribution of Your modifications, or</t>
  </si>
  <si>
    <t xml:space="preserve">      for any such Derivative Works as a whole, provided Your use,</t>
  </si>
  <si>
    <t xml:space="preserve">      reproduction, and distribution of the Work otherwise complies with</t>
  </si>
  <si>
    <t xml:space="preserve">      the conditions stated in this License.</t>
  </si>
  <si>
    <t xml:space="preserve">   5. Submission of Contributions. Unless You explicitly state otherwise,</t>
  </si>
  <si>
    <t xml:space="preserve">      any Contribution intentionally submitted for inclusion in the Work</t>
  </si>
  <si>
    <t xml:space="preserve">      by You to the Licensor shall be under the terms and conditions of</t>
  </si>
  <si>
    <t xml:space="preserve">      this License, without any additional terms or conditions.</t>
  </si>
  <si>
    <t xml:space="preserve">      Notwithstanding the above, nothing herein shall supersede or modify</t>
  </si>
  <si>
    <t xml:space="preserve">      the terms of any separate license agreement you may have executed</t>
  </si>
  <si>
    <t xml:space="preserve">      with Licensor regarding such Contributions.</t>
  </si>
  <si>
    <t xml:space="preserve">   6. Trademarks. This License does not grant permission to use the trade</t>
  </si>
  <si>
    <t xml:space="preserve">      names, trademarks, service marks, or product names of the Licensor,</t>
  </si>
  <si>
    <t xml:space="preserve">      except as required for reasonable and customary use in describing the</t>
  </si>
  <si>
    <t xml:space="preserve">      origin of the Work and reproducing the content of the NOTICE file.</t>
  </si>
  <si>
    <t xml:space="preserve">   7. Disclaimer of Warranty. Unless required by applicable law or</t>
  </si>
  <si>
    <t xml:space="preserve">      agreed to in writing, Licensor provides the Work (and each</t>
  </si>
  <si>
    <t xml:space="preserve">      Contributor provides its Contributions) on an "AS IS" BASIS,</t>
  </si>
  <si>
    <t xml:space="preserve">      WITHOUT WARRANTIES OR CONDITIONS OF ANY KIND, either express or</t>
  </si>
  <si>
    <t xml:space="preserve">      implied, including, without limitation, any warranties or conditions</t>
  </si>
  <si>
    <t xml:space="preserve">      of TITLE, NON-INFRINGEMENT, MERCHANTABILITY, or FITNESS FOR A</t>
  </si>
  <si>
    <t xml:space="preserve">      PARTICULAR PURPOSE. You are solely responsible for determining the</t>
  </si>
  <si>
    <t xml:space="preserve">      appropriateness of using or redistributing the Work and assume any</t>
  </si>
  <si>
    <t xml:space="preserve">      risks associated with Your exercise of permissions under this License.</t>
  </si>
  <si>
    <t xml:space="preserve">   8. Limitation of Liability. In no event and under no legal theory,</t>
  </si>
  <si>
    <t xml:space="preserve">      whether in tort (including negligence), contract, or otherwise,</t>
  </si>
  <si>
    <t xml:space="preserve">      unless required by applicable law (such as deliberate and grossly</t>
  </si>
  <si>
    <t xml:space="preserve">      negligent acts) or agreed to in writing, shall any Contributor be</t>
  </si>
  <si>
    <t xml:space="preserve">      liable to You for damages, including any direct, indirect, special,</t>
  </si>
  <si>
    <t xml:space="preserve">      incidental, or consequential damages of any character arising as a</t>
  </si>
  <si>
    <t xml:space="preserve">      result of this License or out of the use or inability to use the</t>
  </si>
  <si>
    <t xml:space="preserve">      Work (including but not limited to damages for loss of goodwill,</t>
  </si>
  <si>
    <t xml:space="preserve">      work stoppage, computer failure or malfunction, or any and all</t>
  </si>
  <si>
    <t xml:space="preserve">      other commercial damages or losses), even if such Contributor</t>
  </si>
  <si>
    <t xml:space="preserve">      has been advised of the possibility of such damages.</t>
  </si>
  <si>
    <t xml:space="preserve">   9. Accepting Warranty or Additional Liability. While redistributing</t>
  </si>
  <si>
    <t xml:space="preserve">      the Work or Derivative Works thereof, You may choose to offer,</t>
  </si>
  <si>
    <t xml:space="preserve">      and charge a fee for, acceptance of support, warranty, indemnity,</t>
  </si>
  <si>
    <t xml:space="preserve">      or other liability obligations and/or rights consistent with this</t>
  </si>
  <si>
    <t xml:space="preserve">      License. However, in accepting such obligations, You may act only</t>
  </si>
  <si>
    <t xml:space="preserve">      on Your own behalf and on Your sole responsibility, not on behalf</t>
  </si>
  <si>
    <t xml:space="preserve">      of any other Contributor, and only if You agree to indemnify,</t>
  </si>
  <si>
    <t xml:space="preserve">      defend, and hold each Contributor harmless for any liability</t>
  </si>
  <si>
    <t xml:space="preserve">      incurred by, or claims asserted against, such Contributor by reason</t>
  </si>
  <si>
    <t xml:space="preserve">      of your accepting any such warranty or additional liability.</t>
  </si>
  <si>
    <t xml:space="preserve">   END OF TERMS AND CONDITIONS</t>
  </si>
  <si>
    <t xml:space="preserve">   APPENDIX: How to apply the Apache License to your work.</t>
  </si>
  <si>
    <t xml:space="preserve">      To apply the Apache License to your work, attach the following</t>
  </si>
  <si>
    <t xml:space="preserve">      boilerplate notice, with the fields enclosed by brackets "[]"</t>
  </si>
  <si>
    <t xml:space="preserve">      replaced with your own identifying information. (Don't include</t>
  </si>
  <si>
    <t xml:space="preserve">      the brackets!)  The text should be enclosed in the appropriate</t>
  </si>
  <si>
    <t xml:space="preserve">      comment syntax for the file format. We also recommend that a</t>
  </si>
  <si>
    <t xml:space="preserve">      file or class name and description of purpose be included on the</t>
  </si>
  <si>
    <t xml:space="preserve">      same "printed page" as the copyright notice for easier</t>
  </si>
  <si>
    <t xml:space="preserve">      identification within third-party archives.</t>
  </si>
  <si>
    <t xml:space="preserve">   Copyright [yyyy] [name of copyright owner]</t>
  </si>
  <si>
    <t xml:space="preserve">   Licensed under the Apache License, Version 2.0 (the "License");</t>
  </si>
  <si>
    <t xml:space="preserve">   you may not use this file except in compliance with the License.</t>
  </si>
  <si>
    <t xml:space="preserve">   You may obtain a copy of the License at</t>
  </si>
  <si>
    <t xml:space="preserve">       http://www.apache.org/licenses/LICENSE-2.0</t>
  </si>
  <si>
    <t xml:space="preserve">   Unless required by applicable law or agreed to in writing, software</t>
  </si>
  <si>
    <t xml:space="preserve">   distributed under the License is distributed on an "AS IS" BASIS,</t>
  </si>
  <si>
    <t xml:space="preserve">   WITHOUT WARRANTIES OR CONDITIONS OF ANY KIND, either express or implied.</t>
  </si>
  <si>
    <t xml:space="preserve">   See the License for the specific language governing permissions and</t>
  </si>
  <si>
    <t xml:space="preserve">   limitations under the License.</t>
  </si>
  <si>
    <t>NOTICE, LICENSE</t>
  </si>
  <si>
    <t>It details the License and Copyright requirements.</t>
  </si>
  <si>
    <t>It also has the arguments to ensure that the Magnus functions are registered in Excel with links to the help files.</t>
  </si>
  <si>
    <t>Help</t>
  </si>
  <si>
    <t>There is a detailed help file available at:</t>
  </si>
  <si>
    <t>Single Overall Calculation</t>
  </si>
  <si>
    <t>Multiple Division Example</t>
  </si>
  <si>
    <t>FNP</t>
  </si>
  <si>
    <t>Please ensure that you read these worksheets and are familiar with their content.</t>
  </si>
  <si>
    <t>This is used to help show that Magnus is working as expected.</t>
  </si>
  <si>
    <t>This contains the metadata required for the various SAM calculations.</t>
  </si>
  <si>
    <t>There are a couple different sections to this workbook.</t>
  </si>
  <si>
    <t>These worksheets contian important information about the workbook and the underlying code.</t>
  </si>
  <si>
    <t>Please use this file to get more information on how to use the various functions within this Workbook.</t>
  </si>
  <si>
    <t>These worksheet(s) contain the various inputs that are required by Magnus.</t>
  </si>
  <si>
    <t>Where possible inputs have been separated from outputs.</t>
  </si>
  <si>
    <t>These worksheet(s) contain the various outputs generated by the various Magnus functions.</t>
  </si>
  <si>
    <t>Unfortunately some of the formulae here are longer than I would like.</t>
  </si>
  <si>
    <t>Contracts</t>
  </si>
  <si>
    <t>Counterparties</t>
  </si>
  <si>
    <t>Programme</t>
  </si>
  <si>
    <t>contract_id</t>
  </si>
  <si>
    <t>contract_type</t>
  </si>
  <si>
    <t>excess</t>
  </si>
  <si>
    <t>layer_size</t>
  </si>
  <si>
    <t>max_event</t>
  </si>
  <si>
    <t>reinstatement_count</t>
  </si>
  <si>
    <t>reinstatement_prem</t>
  </si>
  <si>
    <t>share</t>
  </si>
  <si>
    <t>PROP</t>
  </si>
  <si>
    <t>later_prop</t>
  </si>
  <si>
    <t>A</t>
  </si>
  <si>
    <t>xol_1</t>
  </si>
  <si>
    <t>XOL</t>
  </si>
  <si>
    <t>xol_2</t>
  </si>
  <si>
    <t>B</t>
  </si>
  <si>
    <t>xol_3</t>
  </si>
  <si>
    <t>C</t>
  </si>
  <si>
    <t>xol_4</t>
  </si>
  <si>
    <t>G</t>
  </si>
  <si>
    <t>xol_5</t>
  </si>
  <si>
    <t>xol_6</t>
  </si>
  <si>
    <t>H</t>
  </si>
  <si>
    <t>I</t>
  </si>
  <si>
    <t>E</t>
  </si>
  <si>
    <t>F</t>
  </si>
  <si>
    <t>Reisnurance Setup</t>
  </si>
  <si>
    <t>Magnus</t>
  </si>
  <si>
    <t>Reinsurance Calculations</t>
  </si>
  <si>
    <t>9b</t>
  </si>
  <si>
    <t>__overall__</t>
  </si>
  <si>
    <t>event_name</t>
  </si>
  <si>
    <t>Reinsurance Proof</t>
  </si>
  <si>
    <t>Reinsurance Setup</t>
  </si>
  <si>
    <t>Reinsurance</t>
  </si>
  <si>
    <t>Calculates the recoveries from the gross event with the supplied reinsurance details.</t>
  </si>
  <si>
    <t>Reinsurance contract table.</t>
  </si>
  <si>
    <t>Event pairs: EventName1, LossArray1, EventName2, LossArray2, …</t>
  </si>
  <si>
    <t>https://github.com/clive-africa/magnus/wiki/Reinsurance</t>
  </si>
  <si>
    <t>Reinsurance programme matrix setup.</t>
  </si>
  <si>
    <t>Event 1</t>
  </si>
  <si>
    <t>Event 2</t>
  </si>
  <si>
    <t>Event 3</t>
  </si>
  <si>
    <t>Event 4</t>
  </si>
  <si>
    <t>Reinsurance Replication</t>
  </si>
  <si>
    <t>Input Figures</t>
  </si>
  <si>
    <t>Diversified Figures</t>
  </si>
  <si>
    <t>Reinsurance Layers</t>
  </si>
  <si>
    <t>Gross Event</t>
  </si>
  <si>
    <t>Net Event</t>
  </si>
  <si>
    <t>Actual Recovery</t>
  </si>
  <si>
    <t>actual_ceded</t>
  </si>
  <si>
    <t>Total Recoveries</t>
  </si>
  <si>
    <t>Theo Recovery</t>
  </si>
  <si>
    <t>Reins. Prem</t>
  </si>
  <si>
    <t>Prior Recoveries</t>
  </si>
  <si>
    <t>Scenario</t>
  </si>
  <si>
    <t>Maximum Recoveries</t>
  </si>
  <si>
    <t>Reinsurance Replication Summary</t>
  </si>
  <si>
    <t>Event Name</t>
  </si>
  <si>
    <t>structure</t>
  </si>
  <si>
    <t>Total by Contract</t>
  </si>
  <si>
    <t>Loss Presented</t>
  </si>
  <si>
    <t>Total by Event</t>
  </si>
  <si>
    <t>Total by Contract and Structure</t>
  </si>
  <si>
    <t>Prior Rein.</t>
  </si>
  <si>
    <t>Total by Counterparty</t>
  </si>
  <si>
    <t>Contract</t>
  </si>
  <si>
    <t>Event</t>
  </si>
  <si>
    <t>Counterparty</t>
  </si>
  <si>
    <t>Data</t>
  </si>
  <si>
    <t>Manual Calculations</t>
  </si>
  <si>
    <t>Function Results</t>
  </si>
  <si>
    <t>Checks</t>
  </si>
  <si>
    <t>Event No</t>
  </si>
  <si>
    <t>Contract &amp; Structure</t>
  </si>
  <si>
    <t>Event Limit</t>
  </si>
  <si>
    <t>Applied</t>
  </si>
  <si>
    <t>Reduction</t>
  </si>
  <si>
    <t>Impact</t>
  </si>
  <si>
    <t>Note</t>
  </si>
  <si>
    <t>This would need to be added back to the figures.</t>
  </si>
  <si>
    <t>Differences</t>
  </si>
  <si>
    <t>Check Totals</t>
  </si>
  <si>
    <t>Overall Check</t>
  </si>
  <si>
    <t>Max Reins. Premium</t>
  </si>
  <si>
    <t>Contract Detail</t>
  </si>
  <si>
    <t>The net event here doesn't consider the impact of the event limit.</t>
  </si>
  <si>
    <t>Reinsurance counterparty table.</t>
  </si>
  <si>
    <t>liability</t>
  </si>
  <si>
    <t>property</t>
  </si>
  <si>
    <t>misc</t>
  </si>
  <si>
    <t>eq</t>
  </si>
  <si>
    <t>horizontal</t>
  </si>
  <si>
    <t>Net Recovery</t>
  </si>
  <si>
    <t>Function Registry</t>
  </si>
  <si>
    <t>These worksheets contain the various calculations required to replicate the Magnus Recoveries function.</t>
  </si>
  <si>
    <t>It further tries to provide users with an understanding of how the function works.</t>
  </si>
  <si>
    <t>This workbook is designed to demonstrate the functionality of the Magnus Recoveries function.</t>
  </si>
  <si>
    <t>You can read more about the function here: https://github.com/clive-africa/magnus/wiki/Reinsurance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</si>
</sst>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0.0%"/>
    <numFmt numFmtId="167" formatCode="_-* #,##0.0_-;\-* #,##0.0_-;_-* &quot;-&quot;?_-;_-@_-"/>
    <numFmt numFmtId="168" formatCode="_ * #,##0.00_ ;_ * \-#,##0.00_ ;_ * &quot;-&quot;??_ ;_ @_ "/>
    <numFmt numFmtId="170" formatCode="0.000%"/>
  </numFmts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Arial Unicode MS"/>
    </font>
    <font>
      <u/>
      <sz val="11"/>
      <color theme="1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6" applyNumberFormat="0" applyFill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7" borderId="9" applyNumberFormat="0" applyAlignment="0" applyProtection="0"/>
    <xf numFmtId="0" fontId="10" fillId="8" borderId="10" applyNumberFormat="0" applyAlignment="0" applyProtection="0"/>
    <xf numFmtId="0" fontId="11" fillId="8" borderId="9" applyNumberFormat="0" applyAlignment="0" applyProtection="0"/>
    <xf numFmtId="0" fontId="12" fillId="0" borderId="11" applyNumberFormat="0" applyFill="0" applyAlignment="0" applyProtection="0"/>
    <xf numFmtId="0" fontId="13" fillId="9" borderId="12" applyNumberFormat="0" applyAlignment="0" applyProtection="0"/>
    <xf numFmtId="0" fontId="14" fillId="0" borderId="0" applyNumberFormat="0" applyFill="0" applyBorder="0" applyAlignment="0" applyProtection="0"/>
    <xf numFmtId="0" fontId="1" fillId="10" borderId="13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4" applyNumberFormat="0" applyFill="0" applyAlignment="0" applyProtection="0"/>
    <xf numFmtId="0" fontId="16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8" fillId="6" borderId="0" applyNumberFormat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6" fillId="14" borderId="0" applyNumberFormat="0" applyBorder="0" applyAlignment="0" applyProtection="0"/>
    <xf numFmtId="0" fontId="16" fillId="18" borderId="0" applyNumberFormat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/>
    <xf numFmtId="0" fontId="1" fillId="0" borderId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29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2" xfId="0" applyBorder="1"/>
    <xf numFmtId="0" fontId="0" fillId="0" borderId="3" xfId="0" applyBorder="1"/>
    <xf numFmtId="9" fontId="0" fillId="0" borderId="2" xfId="0" applyNumberFormat="1" applyBorder="1"/>
    <xf numFmtId="9" fontId="0" fillId="0" borderId="3" xfId="0" applyNumberFormat="1" applyBorder="1"/>
    <xf numFmtId="0" fontId="0" fillId="0" borderId="4" xfId="0" applyBorder="1"/>
    <xf numFmtId="9" fontId="0" fillId="0" borderId="4" xfId="0" applyNumberFormat="1" applyBorder="1"/>
    <xf numFmtId="10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165" fontId="0" fillId="0" borderId="2" xfId="1" applyNumberFormat="1" applyFont="1" applyBorder="1"/>
    <xf numFmtId="165" fontId="0" fillId="0" borderId="3" xfId="1" applyNumberFormat="1" applyFont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0" fillId="0" borderId="3" xfId="0" quotePrefix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3" fontId="0" fillId="0" borderId="0" xfId="0" applyNumberFormat="1"/>
    <xf numFmtId="0" fontId="0" fillId="0" borderId="15" xfId="0" applyBorder="1"/>
    <xf numFmtId="167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165" fontId="0" fillId="2" borderId="0" xfId="1" applyNumberFormat="1" applyFont="1" applyFill="1"/>
    <xf numFmtId="10" fontId="0" fillId="0" borderId="2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2" borderId="1" xfId="0" applyFill="1" applyBorder="1"/>
    <xf numFmtId="0" fontId="2" fillId="2" borderId="1" xfId="0" quotePrefix="1" applyFont="1" applyFill="1" applyBorder="1"/>
    <xf numFmtId="0" fontId="22" fillId="0" borderId="0" xfId="61"/>
    <xf numFmtId="0" fontId="0" fillId="35" borderId="17" xfId="0" applyFill="1" applyBorder="1"/>
    <xf numFmtId="0" fontId="0" fillId="36" borderId="17" xfId="0" applyFill="1" applyBorder="1"/>
    <xf numFmtId="0" fontId="23" fillId="0" borderId="0" xfId="0" applyFont="1"/>
    <xf numFmtId="0" fontId="0" fillId="35" borderId="16" xfId="0" applyFill="1" applyBorder="1"/>
    <xf numFmtId="164" fontId="0" fillId="3" borderId="3" xfId="1" applyNumberFormat="1" applyFont="1" applyFill="1" applyBorder="1"/>
    <xf numFmtId="0" fontId="0" fillId="36" borderId="18" xfId="0" applyFill="1" applyBorder="1"/>
    <xf numFmtId="164" fontId="0" fillId="3" borderId="2" xfId="1" applyNumberFormat="1" applyFont="1" applyFill="1" applyBorder="1"/>
    <xf numFmtId="0" fontId="22" fillId="0" borderId="0" xfId="61" applyAlignment="1">
      <alignment horizontal="left" indent="1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2" fillId="2" borderId="2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/>
    <xf numFmtId="0" fontId="2" fillId="2" borderId="25" xfId="0" applyFont="1" applyFill="1" applyBorder="1"/>
    <xf numFmtId="0" fontId="0" fillId="3" borderId="26" xfId="0" applyFill="1" applyBorder="1"/>
    <xf numFmtId="0" fontId="0" fillId="3" borderId="27" xfId="0" applyFill="1" applyBorder="1"/>
    <xf numFmtId="164" fontId="0" fillId="3" borderId="27" xfId="1" applyNumberFormat="1" applyFont="1" applyFill="1" applyBorder="1"/>
    <xf numFmtId="0" fontId="0" fillId="3" borderId="28" xfId="0" applyFill="1" applyBorder="1"/>
    <xf numFmtId="9" fontId="0" fillId="3" borderId="22" xfId="2" applyFont="1" applyFill="1" applyBorder="1"/>
    <xf numFmtId="9" fontId="0" fillId="3" borderId="23" xfId="2" applyFont="1" applyFill="1" applyBorder="1"/>
    <xf numFmtId="0" fontId="2" fillId="2" borderId="25" xfId="0" applyFont="1" applyFill="1" applyBorder="1" applyAlignment="1">
      <alignment horizontal="center"/>
    </xf>
    <xf numFmtId="9" fontId="0" fillId="3" borderId="28" xfId="2" applyFont="1" applyFill="1" applyBorder="1"/>
    <xf numFmtId="165" fontId="0" fillId="0" borderId="4" xfId="1" applyNumberFormat="1" applyFont="1" applyBorder="1"/>
    <xf numFmtId="165" fontId="0" fillId="0" borderId="19" xfId="1" applyNumberFormat="1" applyFont="1" applyBorder="1"/>
    <xf numFmtId="0" fontId="0" fillId="3" borderId="31" xfId="0" applyFill="1" applyBorder="1"/>
    <xf numFmtId="0" fontId="0" fillId="3" borderId="32" xfId="0" applyFill="1" applyBorder="1"/>
    <xf numFmtId="165" fontId="0" fillId="0" borderId="2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9" xfId="0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165" fontId="0" fillId="0" borderId="4" xfId="1" applyNumberFormat="1" applyFont="1" applyBorder="1" applyAlignment="1">
      <alignment horizontal="left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61" applyFont="1"/>
    <xf numFmtId="165" fontId="2" fillId="37" borderId="1" xfId="1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165" fontId="0" fillId="3" borderId="2" xfId="1" applyNumberFormat="1" applyFont="1" applyFill="1" applyBorder="1"/>
    <xf numFmtId="9" fontId="0" fillId="3" borderId="2" xfId="0" applyNumberFormat="1" applyFill="1" applyBorder="1"/>
    <xf numFmtId="165" fontId="0" fillId="3" borderId="3" xfId="1" applyNumberFormat="1" applyFont="1" applyFill="1" applyBorder="1"/>
    <xf numFmtId="9" fontId="0" fillId="3" borderId="3" xfId="0" applyNumberFormat="1" applyFill="1" applyBorder="1"/>
    <xf numFmtId="165" fontId="0" fillId="3" borderId="4" xfId="1" applyNumberFormat="1" applyFont="1" applyFill="1" applyBorder="1"/>
    <xf numFmtId="0" fontId="0" fillId="3" borderId="3" xfId="0" quotePrefix="1" applyFill="1" applyBorder="1"/>
    <xf numFmtId="0" fontId="2" fillId="37" borderId="1" xfId="0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165" fontId="0" fillId="3" borderId="1" xfId="1" applyNumberFormat="1" applyFont="1" applyFill="1" applyBorder="1"/>
    <xf numFmtId="165" fontId="0" fillId="37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2" xfId="2" applyFont="1" applyBorder="1"/>
    <xf numFmtId="9" fontId="0" fillId="0" borderId="3" xfId="2" applyFont="1" applyBorder="1"/>
    <xf numFmtId="9" fontId="0" fillId="0" borderId="4" xfId="2" applyFont="1" applyBorder="1"/>
    <xf numFmtId="0" fontId="0" fillId="36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5" fontId="2" fillId="37" borderId="1" xfId="0" applyNumberFormat="1" applyFont="1" applyFill="1" applyBorder="1" applyAlignment="1">
      <alignment horizontal="center"/>
    </xf>
    <xf numFmtId="0" fontId="0" fillId="37" borderId="30" xfId="0" applyFill="1" applyBorder="1"/>
    <xf numFmtId="165" fontId="0" fillId="38" borderId="2" xfId="1" applyNumberFormat="1" applyFont="1" applyFill="1" applyBorder="1"/>
    <xf numFmtId="165" fontId="0" fillId="38" borderId="3" xfId="1" applyNumberFormat="1" applyFont="1" applyFill="1" applyBorder="1"/>
    <xf numFmtId="165" fontId="0" fillId="38" borderId="4" xfId="1" applyNumberFormat="1" applyFont="1" applyFill="1" applyBorder="1"/>
    <xf numFmtId="165" fontId="0" fillId="36" borderId="2" xfId="1" applyNumberFormat="1" applyFont="1" applyFill="1" applyBorder="1"/>
    <xf numFmtId="0" fontId="2" fillId="36" borderId="1" xfId="0" applyFont="1" applyFill="1" applyBorder="1" applyAlignment="1">
      <alignment horizontal="center"/>
    </xf>
    <xf numFmtId="0" fontId="0" fillId="37" borderId="1" xfId="0" applyFill="1" applyBorder="1" applyAlignment="1">
      <alignment horizontal="center"/>
    </xf>
    <xf numFmtId="165" fontId="0" fillId="37" borderId="3" xfId="1" applyNumberFormat="1" applyFont="1" applyFill="1" applyBorder="1"/>
    <xf numFmtId="165" fontId="0" fillId="37" borderId="4" xfId="1" applyNumberFormat="1" applyFont="1" applyFill="1" applyBorder="1"/>
    <xf numFmtId="165" fontId="0" fillId="0" borderId="0" xfId="1" applyNumberFormat="1" applyFont="1" applyBorder="1"/>
    <xf numFmtId="0" fontId="2" fillId="0" borderId="1" xfId="0" applyFont="1" applyBorder="1"/>
    <xf numFmtId="0" fontId="0" fillId="37" borderId="1" xfId="0" applyFill="1" applyBorder="1"/>
    <xf numFmtId="0" fontId="0" fillId="3" borderId="1" xfId="0" applyFill="1" applyBorder="1"/>
    <xf numFmtId="0" fontId="2" fillId="37" borderId="1" xfId="0" applyFont="1" applyFill="1" applyBorder="1" applyAlignment="1">
      <alignment horizontal="center"/>
    </xf>
    <xf numFmtId="165" fontId="2" fillId="37" borderId="1" xfId="1" applyNumberFormat="1" applyFont="1" applyFill="1" applyBorder="1" applyAlignment="1">
      <alignment horizontal="center"/>
    </xf>
    <xf numFmtId="0" fontId="2" fillId="37" borderId="30" xfId="0" applyFont="1" applyFill="1" applyBorder="1" applyAlignment="1">
      <alignment horizontal="center"/>
    </xf>
    <xf numFmtId="0" fontId="2" fillId="37" borderId="33" xfId="0" applyFont="1" applyFill="1" applyBorder="1" applyAlignment="1">
      <alignment horizontal="center"/>
    </xf>
    <xf numFmtId="0" fontId="2" fillId="37" borderId="29" xfId="0" applyFont="1" applyFill="1" applyBorder="1" applyAlignment="1">
      <alignment horizontal="center"/>
    </xf>
    <xf numFmtId="10" fontId="0" fillId="0" borderId="0" xfId="2" applyNumberFormat="1" applyFont="1"/>
    <xf numFmtId="0" fontId="27" fillId="0" borderId="0" xfId="0" applyFont="1"/>
    <xf numFmtId="0" fontId="2" fillId="0" borderId="1" xfId="0" applyFont="1" applyBorder="1" applyAlignment="1">
      <alignment horizontal="center"/>
    </xf>
    <xf numFmtId="170" fontId="0" fillId="0" borderId="0" xfId="2" applyNumberFormat="1" applyFont="1"/>
    <xf numFmtId="9" fontId="0" fillId="3" borderId="23" xfId="0" applyNumberFormat="1" applyFill="1" applyBorder="1"/>
    <xf numFmtId="9" fontId="0" fillId="3" borderId="22" xfId="0" applyNumberFormat="1" applyFill="1" applyBorder="1"/>
    <xf numFmtId="166" fontId="0" fillId="3" borderId="23" xfId="2" applyNumberFormat="1" applyFont="1" applyFill="1" applyBorder="1"/>
    <xf numFmtId="165" fontId="0" fillId="3" borderId="1" xfId="1" applyNumberFormat="1" applyFont="1" applyFill="1" applyBorder="1" applyAlignment="1">
      <alignment horizontal="center"/>
    </xf>
    <xf numFmtId="165" fontId="2" fillId="2" borderId="24" xfId="1" applyNumberFormat="1" applyFont="1" applyFill="1" applyBorder="1" applyAlignment="1">
      <alignment horizontal="center"/>
    </xf>
    <xf numFmtId="165" fontId="2" fillId="2" borderId="5" xfId="1" applyNumberFormat="1" applyFont="1" applyFill="1" applyBorder="1" applyAlignment="1">
      <alignment horizontal="center"/>
    </xf>
    <xf numFmtId="165" fontId="2" fillId="2" borderId="25" xfId="1" applyNumberFormat="1" applyFont="1" applyFill="1" applyBorder="1" applyAlignment="1">
      <alignment horizontal="center"/>
    </xf>
    <xf numFmtId="165" fontId="0" fillId="3" borderId="35" xfId="1" applyNumberFormat="1" applyFont="1" applyFill="1" applyBorder="1"/>
    <xf numFmtId="165" fontId="0" fillId="3" borderId="36" xfId="1" applyNumberFormat="1" applyFont="1" applyFill="1" applyBorder="1"/>
    <xf numFmtId="165" fontId="0" fillId="3" borderId="34" xfId="1" applyNumberFormat="1" applyFont="1" applyFill="1" applyBorder="1"/>
    <xf numFmtId="0" fontId="0" fillId="0" borderId="0" xfId="0" applyAlignment="1">
      <alignment horizontal="left"/>
    </xf>
  </cellXfs>
  <cellStyles count="62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47" xr:uid="{7BBE2D16-C4C0-4BC5-947F-1F96E87F4E7E}"/>
    <cellStyle name="60% - Accent2 2" xfId="48" xr:uid="{F036440B-8619-4B48-A8E6-5CB7C9FC96E3}"/>
    <cellStyle name="60% - Accent3 2" xfId="49" xr:uid="{45F0A456-F729-4D18-B4D1-79F6FBCB9503}"/>
    <cellStyle name="60% - Accent4 2" xfId="50" xr:uid="{C35A2FD3-575A-4A4C-8579-5E68C2F10FBA}"/>
    <cellStyle name="60% - Accent5 2" xfId="51" xr:uid="{A37ABA09-6DCD-4D0A-BDA2-7A717B48F4C0}"/>
    <cellStyle name="60% - Accent6 2" xfId="52" xr:uid="{299DABF4-937C-42B4-AC1F-1E45ADC4C175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1" builtinId="3"/>
    <cellStyle name="Comma 2" xfId="58" xr:uid="{28AA1EC0-5D96-482E-AA47-AC4FC5B58148}"/>
    <cellStyle name="Comma 2 2" xfId="43" xr:uid="{BF4A691F-07D9-4BB4-917C-D2EEE0C8E894}"/>
    <cellStyle name="Comma 3" xfId="59" xr:uid="{EF586D2C-770D-4AB1-B8D7-D1A1E560101A}"/>
    <cellStyle name="Comma 3 2" xfId="42" xr:uid="{07E00456-756A-4356-A977-D098F5319EE3}"/>
    <cellStyle name="Comma 3 3" xfId="38" xr:uid="{2982291B-FC12-4D01-900C-7A65149756A5}"/>
    <cellStyle name="Comma 4" xfId="60" xr:uid="{6D0480B3-68AC-4BD3-B763-FB302E8A10C4}"/>
    <cellStyle name="Comma 4 2" xfId="44" xr:uid="{FC254C22-34F1-4B67-8891-390EFE8B9C83}"/>
    <cellStyle name="Comma 5" xfId="39" xr:uid="{A4B90FED-52C9-4377-B046-084382C5DAB7}"/>
    <cellStyle name="Comma 5 2" xfId="36" xr:uid="{267A5CD9-F517-491A-A9B0-5FEA83AE87A1}"/>
    <cellStyle name="Comma 6" xfId="46" xr:uid="{894BEBDE-C7D2-4670-94A1-5D5DAF496A58}"/>
    <cellStyle name="Comma 6 2" xfId="45" xr:uid="{A1D3B767-539B-487A-AC15-4674BC64977B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1" builtinId="8"/>
    <cellStyle name="Input" xfId="9" builtinId="20" customBuiltin="1"/>
    <cellStyle name="Linked Cell" xfId="12" builtinId="24" customBuiltin="1"/>
    <cellStyle name="Neutral 2" xfId="41" xr:uid="{B0FBDBD0-C33E-4DF4-B266-348B30365FD6}"/>
    <cellStyle name="Normal" xfId="0" builtinId="0"/>
    <cellStyle name="Normal 2" xfId="56" xr:uid="{A916ACB3-0FCD-428E-B79D-3F5713377470}"/>
    <cellStyle name="Normal 3" xfId="40" xr:uid="{D74A9825-D56B-4325-98FE-747DAC315E1C}"/>
    <cellStyle name="Normal 6" xfId="55" xr:uid="{599B3DC5-77AF-4265-8CD2-B23A3A41488D}"/>
    <cellStyle name="Normal 7" xfId="53" xr:uid="{1644AACC-FABE-4DAC-818A-94E81E9DF820}"/>
    <cellStyle name="Normal 8" xfId="54" xr:uid="{FB2CA017-7C8B-477C-91B8-802CEC0C63FA}"/>
    <cellStyle name="Note" xfId="15" builtinId="10" customBuiltin="1"/>
    <cellStyle name="Output" xfId="10" builtinId="21" customBuiltin="1"/>
    <cellStyle name="Per cent" xfId="2" builtinId="5"/>
    <cellStyle name="Percent 2" xfId="57" xr:uid="{BD9919A8-DA4B-4B09-BCAD-A44175840467}"/>
    <cellStyle name="Title 2" xfId="37" xr:uid="{45E3CE66-E11F-4EB4-81D6-31A00A27C210}"/>
    <cellStyle name="Total" xfId="17" builtinId="25" customBuiltin="1"/>
    <cellStyle name="Warning Text" xfId="14" builtinId="11" customBuiltin="1"/>
  </cellStyles>
  <dxfs count="6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numFmt numFmtId="13" formatCode="0%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0" tint="-0.14996795556505021"/>
        </bottom>
      </border>
    </dxf>
    <dxf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C67D19-8B6D-4F5C-A2F0-2C6C2B36ECE4}" name="tPremRes" displayName="tPremRes" ref="B5:W45" totalsRowShown="0" headerRowDxfId="64" dataDxfId="62" headerRowBorderDxfId="63" tableBorderDxfId="61">
  <autoFilter ref="B5:W45" xr:uid="{BA30A7B1-2563-47EB-B19A-83A608000FE2}"/>
  <tableColumns count="22">
    <tableColumn id="1" xr3:uid="{07FD8F3D-BAC2-46AA-856B-02E0246EA81D}" name="level_1" dataDxfId="60"/>
    <tableColumn id="2" xr3:uid="{6DAA3720-6C53-4946-AB22-0435226E0537}" name="level_2" dataDxfId="59"/>
    <tableColumn id="3" xr3:uid="{8BC0B821-D880-4D97-BD28-BB93D822DBFD}" name="lob_type" dataDxfId="58"/>
    <tableColumn id="4" xr3:uid="{9D7C03C0-34B9-4113-8A88-113428712961}" name="lob" dataDxfId="57"/>
    <tableColumn id="5" xr3:uid="{EB388E8E-B5CF-4CC7-91E9-B712DFED2682}" name="gross_p" dataDxfId="56" dataCellStyle="Comma"/>
    <tableColumn id="6" xr3:uid="{3D5F386B-45E0-40AD-92FB-34D8DB7FB50A}" name="gross_p_last" dataDxfId="55" dataCellStyle="Comma"/>
    <tableColumn id="7" xr3:uid="{7C454A14-9062-45B5-8840-3B24765ACF37}" name="gross_p_last_24" dataDxfId="54" dataCellStyle="Comma"/>
    <tableColumn id="8" xr3:uid="{88D1007B-1A4A-4407-93D1-BAFD58D419ED}" name="gross_fp_existing" dataDxfId="53" dataCellStyle="Comma"/>
    <tableColumn id="9" xr3:uid="{C7AC7201-C455-4393-83D0-C0107399D737}" name="gross_fp_future" dataDxfId="52" dataCellStyle="Comma"/>
    <tableColumn id="10" xr3:uid="{830FAF71-9507-43ED-890C-B7D2D39AD295}" name="gross_claim" dataDxfId="51" dataCellStyle="Comma"/>
    <tableColumn id="11" xr3:uid="{D9305B0D-E8A5-4B5B-B203-17F8DDEF8AA9}" name="gross_other" dataDxfId="50" dataCellStyle="Comma"/>
    <tableColumn id="12" xr3:uid="{1A20E8F0-D106-4EF5-A542-4BC1B6B79225}" name="net_p" dataDxfId="49" dataCellStyle="Comma"/>
    <tableColumn id="13" xr3:uid="{2FD585CC-4C9C-4584-9967-B2FAF3C443E2}" name="net_p_last" dataDxfId="48" dataCellStyle="Comma"/>
    <tableColumn id="14" xr3:uid="{C376732A-C691-4F09-98CD-8BC59CEC7355}" name="net_p_last_24" dataDxfId="47" dataCellStyle="Comma"/>
    <tableColumn id="15" xr3:uid="{0178DE0E-444F-4969-BA1E-3CBA9111F719}" name="net_fp_existing" dataDxfId="46" dataCellStyle="Comma"/>
    <tableColumn id="16" xr3:uid="{6BAC8A9D-22B8-42C7-BB3C-6213082B310F}" name="net_fp_future" dataDxfId="45" dataCellStyle="Comma"/>
    <tableColumn id="17" xr3:uid="{7EF0D57E-F73F-4981-9F48-F1482954FC22}" name="net_claim" dataDxfId="44" dataCellStyle="Comma"/>
    <tableColumn id="18" xr3:uid="{531402B1-5666-4A10-BDC8-AE86CD861027}" name="net_other" dataDxfId="43" dataCellStyle="Comma"/>
    <tableColumn id="19" xr3:uid="{2730DB33-0619-4375-A71F-725A5CEF63BB}" name="include_factor_cat" dataDxfId="42"/>
    <tableColumn id="20" xr3:uid="{943E9C3F-48B1-428D-9BC2-4369730DCA92}" name="include_np_cat" dataDxfId="41"/>
    <tableColumn id="21" xr3:uid="{8F19BF8D-B9FE-459F-9B09-4686820238C6}" name="reinsurance_id" dataDxfId="40"/>
    <tableColumn id="22" xr3:uid="{BD26DFC4-B6EE-428E-A5D0-4E42FEFE4D00}" name="ri_structure" dataDxfId="3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15FE7-A73A-4367-918D-4EFCA3CC0B62}" name="tReinsurance" displayName="tReinsurance" ref="Y5:AA17" totalsRowShown="0" headerRowDxfId="38" headerRowBorderDxfId="37" tableBorderDxfId="36">
  <autoFilter ref="Y5:AA17" xr:uid="{CD615FE7-A73A-4367-918D-4EFCA3CC0B62}"/>
  <tableColumns count="3">
    <tableColumn id="1" xr3:uid="{8665AA23-E33C-4D16-BB43-6A8C267A1881}" name="reinsurance_id" dataDxfId="35"/>
    <tableColumn id="2" xr3:uid="{56E6811D-D197-45A0-A314-F67327165898}" name="counterparty_id" dataDxfId="34"/>
    <tableColumn id="3" xr3:uid="{5E43937E-3100-4119-A252-5278C3E744D0}" name="counterparty_share" dataDxfId="33" dataCellStyle="Per 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E414BC-E662-410C-B504-46D3F28E3598}" name="tContract" displayName="tContract" ref="B7:I15" totalsRowShown="0" headerRowDxfId="22" headerRowBorderDxfId="31" tableBorderDxfId="32">
  <autoFilter ref="B7:I15" xr:uid="{21E414BC-E662-410C-B504-46D3F28E3598}"/>
  <tableColumns count="8">
    <tableColumn id="1" xr3:uid="{7C054A10-5CC6-45A9-B810-CF14A4E629DE}" name="contract_id" dataDxfId="30"/>
    <tableColumn id="2" xr3:uid="{2B51F667-A901-4D12-A7DF-801DB25DDDF7}" name="contract_type" dataDxfId="29"/>
    <tableColumn id="3" xr3:uid="{65B04C5E-0948-4765-A08F-369B1940F481}" name="excess" dataDxfId="28" dataCellStyle="Comma"/>
    <tableColumn id="4" xr3:uid="{B3A2902F-F1E7-488F-A165-3E4D995BD192}" name="layer_size" dataDxfId="27" dataCellStyle="Comma"/>
    <tableColumn id="5" xr3:uid="{9EE8A3EF-4876-4A9E-9606-28EADA5018BD}" name="max_event" dataDxfId="26"/>
    <tableColumn id="6" xr3:uid="{044738D0-B287-40DE-898F-EB11373E8C02}" name="prop" dataDxfId="25"/>
    <tableColumn id="7" xr3:uid="{0D24B33E-2581-4484-8A7F-C33B8588BAD1}" name="reinstatement_count" dataDxfId="24"/>
    <tableColumn id="8" xr3:uid="{BB42F349-52F4-42F4-BB76-A02E1FB9EC38}" name="reinstatement_prem" dataDxfId="2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C78D7A-F005-4C17-9897-0AF8C324B942}" name="tCounterparty" displayName="tCounterparty" ref="K7:M27" totalsRowShown="0" headerRowDxfId="16" headerRowBorderDxfId="20" tableBorderDxfId="21">
  <autoFilter ref="K7:M27" xr:uid="{BDC78D7A-F005-4C17-9897-0AF8C324B942}"/>
  <tableColumns count="3">
    <tableColumn id="1" xr3:uid="{DA18CAA0-E0F2-4FD2-89B6-9589CA3F06F5}" name="contract_id" dataDxfId="19"/>
    <tableColumn id="2" xr3:uid="{2D6C8507-5197-4267-A615-EDC7BE7236C5}" name="counterparty_id" dataDxfId="18"/>
    <tableColumn id="3" xr3:uid="{E14C94D0-9C19-43D7-A7AB-ED41BC8837D1}" name="share" dataDxfId="1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8AF474-88B0-463B-94CC-EF49522F5207}" name="tProgramme" displayName="tProgramme" ref="O7:S15" totalsRowShown="0" headerRowDxfId="15" dataDxfId="14" headerRowBorderDxfId="12" tableBorderDxfId="13">
  <autoFilter ref="O7:S15" xr:uid="{1D8AF474-88B0-463B-94CC-EF49522F5207}"/>
  <tableColumns count="5">
    <tableColumn id="1" xr3:uid="{C7B1BF03-9C99-4C79-9B3C-D39A53FDAB19}" name="contract_id" dataDxfId="11"/>
    <tableColumn id="2" xr3:uid="{CAB0D0A0-0E6B-45F1-894A-1130B7B02D51}" name="motor" dataDxfId="10"/>
    <tableColumn id="3" xr3:uid="{E2CB9CE9-87F6-49F7-9A0D-1427B07802CD}" name="property" dataDxfId="9"/>
    <tableColumn id="4" xr3:uid="{0FBDA9A7-2351-4C87-9604-17F003782F31}" name="liability" dataDxfId="8"/>
    <tableColumn id="5" xr3:uid="{247F8B2D-D9A0-4642-8F32-C4477D12FB1B}" name="misc" dataDxfId="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8B5EAC5-F77F-4EAE-B50D-33E9E6835457}" name="tEarthquake" displayName="tEarthquake" ref="C7:E8" totalsRowShown="0" headerRowDxfId="0" headerRowBorderDxfId="5" tableBorderDxfId="6" totalsRowBorderDxfId="4" headerRowCellStyle="Comma">
  <autoFilter ref="C7:E8" xr:uid="{38B5EAC5-F77F-4EAE-B50D-33E9E6835457}"/>
  <tableColumns count="3">
    <tableColumn id="1" xr3:uid="{5B13AB89-330A-429E-A62B-CD93F81167CE}" name="__overall__" dataDxfId="3" dataCellStyle="Comma"/>
    <tableColumn id="2" xr3:uid="{E4B92BFD-1635-4CD2-9F70-251B09ECB3F6}" name="motor" dataDxfId="2" dataCellStyle="Comma"/>
    <tableColumn id="3" xr3:uid="{624DAD48-494D-43D1-BCD3-15F221015A08}" name="property" dataDxfId="1" dataCellStyle="Comm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clive-africa/magnus/wiki/Reinsurance" TargetMode="External"/><Relationship Id="rId1" Type="http://schemas.openxmlformats.org/officeDocument/2006/relationships/hyperlink" Target="https://github.com/clive-africa/magnus/wiki/Reinsuranc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B3518-5654-4240-AEC1-82213C876F95}">
  <sheetPr codeName="Sheet37"/>
  <dimension ref="B3:B15"/>
  <sheetViews>
    <sheetView showGridLines="0" workbookViewId="0">
      <selection activeCell="L14" sqref="L14"/>
    </sheetView>
  </sheetViews>
  <sheetFormatPr defaultRowHeight="14.5"/>
  <cols>
    <col min="1" max="1" width="1.36328125" customWidth="1"/>
    <col min="2" max="2" width="74.36328125" customWidth="1"/>
  </cols>
  <sheetData>
    <row r="3" spans="2:2" ht="16">
      <c r="B3" s="78" t="s">
        <v>218</v>
      </c>
    </row>
    <row r="4" spans="2:2" ht="16">
      <c r="B4" s="73"/>
    </row>
    <row r="5" spans="2:2" ht="16">
      <c r="B5" s="73" t="s">
        <v>209</v>
      </c>
    </row>
    <row r="6" spans="2:2" ht="16">
      <c r="B6" s="73" t="s">
        <v>210</v>
      </c>
    </row>
    <row r="7" spans="2:2" ht="16">
      <c r="B7" s="73" t="s">
        <v>211</v>
      </c>
    </row>
    <row r="8" spans="2:2" ht="16">
      <c r="B8" s="73"/>
    </row>
    <row r="9" spans="2:2" ht="16">
      <c r="B9" s="73" t="s">
        <v>212</v>
      </c>
    </row>
    <row r="10" spans="2:2" ht="16">
      <c r="B10" s="73"/>
    </row>
    <row r="11" spans="2:2" ht="16">
      <c r="B11" s="73" t="s">
        <v>213</v>
      </c>
    </row>
    <row r="12" spans="2:2" ht="16">
      <c r="B12" s="73" t="s">
        <v>214</v>
      </c>
    </row>
    <row r="13" spans="2:2" ht="16">
      <c r="B13" s="73" t="s">
        <v>215</v>
      </c>
    </row>
    <row r="14" spans="2:2" ht="16">
      <c r="B14" s="73" t="s">
        <v>216</v>
      </c>
    </row>
    <row r="15" spans="2:2" ht="16">
      <c r="B15" s="73" t="s">
        <v>217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7CD5-01AA-481B-AA0B-A466A41EF30D}">
  <sheetPr codeName="Sheet38"/>
  <dimension ref="B2:B202"/>
  <sheetViews>
    <sheetView showGridLines="0" workbookViewId="0">
      <selection activeCell="B217" sqref="B217"/>
    </sheetView>
  </sheetViews>
  <sheetFormatPr defaultRowHeight="14.5"/>
  <cols>
    <col min="1" max="1" width="1.36328125" customWidth="1"/>
    <col min="2" max="2" width="99.453125" customWidth="1"/>
  </cols>
  <sheetData>
    <row r="2" spans="2:2">
      <c r="B2" s="74" t="s">
        <v>219</v>
      </c>
    </row>
    <row r="3" spans="2:2">
      <c r="B3" s="74" t="s">
        <v>220</v>
      </c>
    </row>
    <row r="4" spans="2:2">
      <c r="B4" s="74" t="s">
        <v>221</v>
      </c>
    </row>
    <row r="5" spans="2:2">
      <c r="B5" s="75"/>
    </row>
    <row r="6" spans="2:2">
      <c r="B6" s="74" t="s">
        <v>222</v>
      </c>
    </row>
    <row r="7" spans="2:2">
      <c r="B7" s="75"/>
    </row>
    <row r="8" spans="2:2">
      <c r="B8" s="74" t="s">
        <v>223</v>
      </c>
    </row>
    <row r="9" spans="2:2">
      <c r="B9" s="75"/>
    </row>
    <row r="10" spans="2:2">
      <c r="B10" s="74" t="s">
        <v>224</v>
      </c>
    </row>
    <row r="11" spans="2:2">
      <c r="B11" s="74" t="s">
        <v>225</v>
      </c>
    </row>
    <row r="12" spans="2:2">
      <c r="B12" s="75"/>
    </row>
    <row r="13" spans="2:2">
      <c r="B13" s="74" t="s">
        <v>226</v>
      </c>
    </row>
    <row r="14" spans="2:2">
      <c r="B14" s="74" t="s">
        <v>227</v>
      </c>
    </row>
    <row r="15" spans="2:2">
      <c r="B15" s="75"/>
    </row>
    <row r="16" spans="2:2">
      <c r="B16" s="74" t="s">
        <v>228</v>
      </c>
    </row>
    <row r="17" spans="2:2">
      <c r="B17" s="74" t="s">
        <v>229</v>
      </c>
    </row>
    <row r="18" spans="2:2">
      <c r="B18" s="74" t="s">
        <v>230</v>
      </c>
    </row>
    <row r="19" spans="2:2">
      <c r="B19" s="74" t="s">
        <v>231</v>
      </c>
    </row>
    <row r="20" spans="2:2">
      <c r="B20" s="74" t="s">
        <v>232</v>
      </c>
    </row>
    <row r="21" spans="2:2">
      <c r="B21" s="74" t="s">
        <v>233</v>
      </c>
    </row>
    <row r="22" spans="2:2">
      <c r="B22" s="74" t="s">
        <v>234</v>
      </c>
    </row>
    <row r="23" spans="2:2">
      <c r="B23" s="75"/>
    </row>
    <row r="24" spans="2:2">
      <c r="B24" s="74" t="s">
        <v>235</v>
      </c>
    </row>
    <row r="25" spans="2:2">
      <c r="B25" s="74" t="s">
        <v>236</v>
      </c>
    </row>
    <row r="26" spans="2:2">
      <c r="B26" s="75"/>
    </row>
    <row r="27" spans="2:2">
      <c r="B27" s="74" t="s">
        <v>237</v>
      </c>
    </row>
    <row r="28" spans="2:2">
      <c r="B28" s="74" t="s">
        <v>238</v>
      </c>
    </row>
    <row r="29" spans="2:2">
      <c r="B29" s="74" t="s">
        <v>239</v>
      </c>
    </row>
    <row r="30" spans="2:2">
      <c r="B30" s="75"/>
    </row>
    <row r="31" spans="2:2">
      <c r="B31" s="74" t="s">
        <v>240</v>
      </c>
    </row>
    <row r="32" spans="2:2">
      <c r="B32" s="74" t="s">
        <v>241</v>
      </c>
    </row>
    <row r="33" spans="2:2">
      <c r="B33" s="74" t="s">
        <v>242</v>
      </c>
    </row>
    <row r="34" spans="2:2">
      <c r="B34" s="74" t="s">
        <v>243</v>
      </c>
    </row>
    <row r="35" spans="2:2">
      <c r="B35" s="75"/>
    </row>
    <row r="36" spans="2:2">
      <c r="B36" s="74" t="s">
        <v>244</v>
      </c>
    </row>
    <row r="37" spans="2:2">
      <c r="B37" s="74" t="s">
        <v>245</v>
      </c>
    </row>
    <row r="38" spans="2:2">
      <c r="B38" s="74" t="s">
        <v>246</v>
      </c>
    </row>
    <row r="39" spans="2:2">
      <c r="B39" s="74" t="s">
        <v>247</v>
      </c>
    </row>
    <row r="40" spans="2:2">
      <c r="B40" s="75"/>
    </row>
    <row r="41" spans="2:2">
      <c r="B41" s="74" t="s">
        <v>248</v>
      </c>
    </row>
    <row r="42" spans="2:2">
      <c r="B42" s="74" t="s">
        <v>249</v>
      </c>
    </row>
    <row r="43" spans="2:2">
      <c r="B43" s="74" t="s">
        <v>250</v>
      </c>
    </row>
    <row r="44" spans="2:2">
      <c r="B44" s="74" t="s">
        <v>251</v>
      </c>
    </row>
    <row r="45" spans="2:2">
      <c r="B45" s="74" t="s">
        <v>252</v>
      </c>
    </row>
    <row r="46" spans="2:2">
      <c r="B46" s="74" t="s">
        <v>253</v>
      </c>
    </row>
    <row r="47" spans="2:2">
      <c r="B47" s="74" t="s">
        <v>254</v>
      </c>
    </row>
    <row r="48" spans="2:2">
      <c r="B48" s="75"/>
    </row>
    <row r="49" spans="2:2">
      <c r="B49" s="74" t="s">
        <v>255</v>
      </c>
    </row>
    <row r="50" spans="2:2">
      <c r="B50" s="74" t="s">
        <v>256</v>
      </c>
    </row>
    <row r="51" spans="2:2">
      <c r="B51" s="74" t="s">
        <v>257</v>
      </c>
    </row>
    <row r="52" spans="2:2">
      <c r="B52" s="74" t="s">
        <v>258</v>
      </c>
    </row>
    <row r="53" spans="2:2">
      <c r="B53" s="74" t="s">
        <v>259</v>
      </c>
    </row>
    <row r="54" spans="2:2">
      <c r="B54" s="74" t="s">
        <v>260</v>
      </c>
    </row>
    <row r="55" spans="2:2">
      <c r="B55" s="74" t="s">
        <v>261</v>
      </c>
    </row>
    <row r="56" spans="2:2">
      <c r="B56" s="74" t="s">
        <v>262</v>
      </c>
    </row>
    <row r="57" spans="2:2">
      <c r="B57" s="74" t="s">
        <v>263</v>
      </c>
    </row>
    <row r="58" spans="2:2">
      <c r="B58" s="74" t="s">
        <v>264</v>
      </c>
    </row>
    <row r="59" spans="2:2">
      <c r="B59" s="74" t="s">
        <v>265</v>
      </c>
    </row>
    <row r="60" spans="2:2">
      <c r="B60" s="74" t="s">
        <v>266</v>
      </c>
    </row>
    <row r="61" spans="2:2">
      <c r="B61" s="74" t="s">
        <v>267</v>
      </c>
    </row>
    <row r="62" spans="2:2">
      <c r="B62" s="75"/>
    </row>
    <row r="63" spans="2:2">
      <c r="B63" s="74" t="s">
        <v>268</v>
      </c>
    </row>
    <row r="64" spans="2:2">
      <c r="B64" s="74" t="s">
        <v>269</v>
      </c>
    </row>
    <row r="65" spans="2:2">
      <c r="B65" s="74" t="s">
        <v>270</v>
      </c>
    </row>
    <row r="66" spans="2:2">
      <c r="B66" s="75"/>
    </row>
    <row r="67" spans="2:2">
      <c r="B67" s="74" t="s">
        <v>271</v>
      </c>
    </row>
    <row r="68" spans="2:2">
      <c r="B68" s="74" t="s">
        <v>272</v>
      </c>
    </row>
    <row r="69" spans="2:2">
      <c r="B69" s="74" t="s">
        <v>273</v>
      </c>
    </row>
    <row r="70" spans="2:2">
      <c r="B70" s="74" t="s">
        <v>274</v>
      </c>
    </row>
    <row r="71" spans="2:2">
      <c r="B71" s="74" t="s">
        <v>275</v>
      </c>
    </row>
    <row r="72" spans="2:2">
      <c r="B72" s="74" t="s">
        <v>276</v>
      </c>
    </row>
    <row r="73" spans="2:2">
      <c r="B73" s="75"/>
    </row>
    <row r="74" spans="2:2">
      <c r="B74" s="74" t="s">
        <v>277</v>
      </c>
    </row>
    <row r="75" spans="2:2">
      <c r="B75" s="74" t="s">
        <v>272</v>
      </c>
    </row>
    <row r="76" spans="2:2">
      <c r="B76" s="74" t="s">
        <v>273</v>
      </c>
    </row>
    <row r="77" spans="2:2">
      <c r="B77" s="74" t="s">
        <v>278</v>
      </c>
    </row>
    <row r="78" spans="2:2">
      <c r="B78" s="74" t="s">
        <v>279</v>
      </c>
    </row>
    <row r="79" spans="2:2">
      <c r="B79" s="74" t="s">
        <v>280</v>
      </c>
    </row>
    <row r="80" spans="2:2">
      <c r="B80" s="74" t="s">
        <v>281</v>
      </c>
    </row>
    <row r="81" spans="2:2">
      <c r="B81" s="74" t="s">
        <v>282</v>
      </c>
    </row>
    <row r="82" spans="2:2">
      <c r="B82" s="74" t="s">
        <v>283</v>
      </c>
    </row>
    <row r="83" spans="2:2">
      <c r="B83" s="74" t="s">
        <v>284</v>
      </c>
    </row>
    <row r="84" spans="2:2">
      <c r="B84" s="74" t="s">
        <v>285</v>
      </c>
    </row>
    <row r="85" spans="2:2">
      <c r="B85" s="74" t="s">
        <v>286</v>
      </c>
    </row>
    <row r="86" spans="2:2">
      <c r="B86" s="74" t="s">
        <v>287</v>
      </c>
    </row>
    <row r="87" spans="2:2">
      <c r="B87" s="74" t="s">
        <v>288</v>
      </c>
    </row>
    <row r="88" spans="2:2">
      <c r="B88" s="74" t="s">
        <v>289</v>
      </c>
    </row>
    <row r="89" spans="2:2">
      <c r="B89" s="75"/>
    </row>
    <row r="90" spans="2:2">
      <c r="B90" s="74" t="s">
        <v>290</v>
      </c>
    </row>
    <row r="91" spans="2:2">
      <c r="B91" s="74" t="s">
        <v>291</v>
      </c>
    </row>
    <row r="92" spans="2:2">
      <c r="B92" s="74" t="s">
        <v>292</v>
      </c>
    </row>
    <row r="93" spans="2:2">
      <c r="B93" s="74" t="s">
        <v>293</v>
      </c>
    </row>
    <row r="94" spans="2:2">
      <c r="B94" s="75"/>
    </row>
    <row r="95" spans="2:2">
      <c r="B95" s="74" t="s">
        <v>294</v>
      </c>
    </row>
    <row r="96" spans="2:2">
      <c r="B96" s="74" t="s">
        <v>295</v>
      </c>
    </row>
    <row r="97" spans="2:2">
      <c r="B97" s="75"/>
    </row>
    <row r="98" spans="2:2">
      <c r="B98" s="74" t="s">
        <v>296</v>
      </c>
    </row>
    <row r="99" spans="2:2">
      <c r="B99" s="74" t="s">
        <v>297</v>
      </c>
    </row>
    <row r="100" spans="2:2">
      <c r="B100" s="75"/>
    </row>
    <row r="101" spans="2:2">
      <c r="B101" s="74" t="s">
        <v>298</v>
      </c>
    </row>
    <row r="102" spans="2:2">
      <c r="B102" s="74" t="s">
        <v>299</v>
      </c>
    </row>
    <row r="103" spans="2:2">
      <c r="B103" s="74" t="s">
        <v>300</v>
      </c>
    </row>
    <row r="104" spans="2:2">
      <c r="B104" s="74" t="s">
        <v>301</v>
      </c>
    </row>
    <row r="105" spans="2:2">
      <c r="B105" s="74" t="s">
        <v>302</v>
      </c>
    </row>
    <row r="106" spans="2:2">
      <c r="B106" s="75"/>
    </row>
    <row r="107" spans="2:2">
      <c r="B107" s="74" t="s">
        <v>303</v>
      </c>
    </row>
    <row r="108" spans="2:2">
      <c r="B108" s="74" t="s">
        <v>304</v>
      </c>
    </row>
    <row r="109" spans="2:2">
      <c r="B109" s="74" t="s">
        <v>305</v>
      </c>
    </row>
    <row r="110" spans="2:2">
      <c r="B110" s="74" t="s">
        <v>306</v>
      </c>
    </row>
    <row r="111" spans="2:2">
      <c r="B111" s="74" t="s">
        <v>307</v>
      </c>
    </row>
    <row r="112" spans="2:2">
      <c r="B112" s="74" t="s">
        <v>308</v>
      </c>
    </row>
    <row r="113" spans="2:2">
      <c r="B113" s="74" t="s">
        <v>309</v>
      </c>
    </row>
    <row r="114" spans="2:2">
      <c r="B114" s="74" t="s">
        <v>310</v>
      </c>
    </row>
    <row r="115" spans="2:2">
      <c r="B115" s="74" t="s">
        <v>311</v>
      </c>
    </row>
    <row r="116" spans="2:2">
      <c r="B116" s="74" t="s">
        <v>312</v>
      </c>
    </row>
    <row r="117" spans="2:2">
      <c r="B117" s="74" t="s">
        <v>313</v>
      </c>
    </row>
    <row r="118" spans="2:2">
      <c r="B118" s="74" t="s">
        <v>314</v>
      </c>
    </row>
    <row r="119" spans="2:2">
      <c r="B119" s="74" t="s">
        <v>315</v>
      </c>
    </row>
    <row r="120" spans="2:2">
      <c r="B120" s="74" t="s">
        <v>316</v>
      </c>
    </row>
    <row r="121" spans="2:2">
      <c r="B121" s="74" t="s">
        <v>317</v>
      </c>
    </row>
    <row r="122" spans="2:2">
      <c r="B122" s="74" t="s">
        <v>318</v>
      </c>
    </row>
    <row r="123" spans="2:2">
      <c r="B123" s="75"/>
    </row>
    <row r="124" spans="2:2">
      <c r="B124" s="74" t="s">
        <v>319</v>
      </c>
    </row>
    <row r="125" spans="2:2">
      <c r="B125" s="74" t="s">
        <v>320</v>
      </c>
    </row>
    <row r="126" spans="2:2">
      <c r="B126" s="74" t="s">
        <v>321</v>
      </c>
    </row>
    <row r="127" spans="2:2">
      <c r="B127" s="74" t="s">
        <v>322</v>
      </c>
    </row>
    <row r="128" spans="2:2">
      <c r="B128" s="74" t="s">
        <v>323</v>
      </c>
    </row>
    <row r="129" spans="2:2">
      <c r="B129" s="74" t="s">
        <v>324</v>
      </c>
    </row>
    <row r="130" spans="2:2">
      <c r="B130" s="75"/>
    </row>
    <row r="131" spans="2:2">
      <c r="B131" s="74" t="s">
        <v>325</v>
      </c>
    </row>
    <row r="132" spans="2:2">
      <c r="B132" s="74" t="s">
        <v>326</v>
      </c>
    </row>
    <row r="133" spans="2:2">
      <c r="B133" s="74" t="s">
        <v>327</v>
      </c>
    </row>
    <row r="134" spans="2:2">
      <c r="B134" s="74" t="s">
        <v>328</v>
      </c>
    </row>
    <row r="135" spans="2:2">
      <c r="B135" s="74" t="s">
        <v>329</v>
      </c>
    </row>
    <row r="136" spans="2:2">
      <c r="B136" s="74" t="s">
        <v>330</v>
      </c>
    </row>
    <row r="137" spans="2:2">
      <c r="B137" s="74" t="s">
        <v>331</v>
      </c>
    </row>
    <row r="138" spans="2:2">
      <c r="B138" s="75"/>
    </row>
    <row r="139" spans="2:2">
      <c r="B139" s="74" t="s">
        <v>332</v>
      </c>
    </row>
    <row r="140" spans="2:2">
      <c r="B140" s="74" t="s">
        <v>333</v>
      </c>
    </row>
    <row r="141" spans="2:2">
      <c r="B141" s="74" t="s">
        <v>334</v>
      </c>
    </row>
    <row r="142" spans="2:2">
      <c r="B142" s="74" t="s">
        <v>335</v>
      </c>
    </row>
    <row r="143" spans="2:2">
      <c r="B143" s="75"/>
    </row>
    <row r="144" spans="2:2">
      <c r="B144" s="74" t="s">
        <v>336</v>
      </c>
    </row>
    <row r="145" spans="2:2">
      <c r="B145" s="74" t="s">
        <v>337</v>
      </c>
    </row>
    <row r="146" spans="2:2">
      <c r="B146" s="74" t="s">
        <v>338</v>
      </c>
    </row>
    <row r="147" spans="2:2">
      <c r="B147" s="74" t="s">
        <v>339</v>
      </c>
    </row>
    <row r="148" spans="2:2">
      <c r="B148" s="74" t="s">
        <v>340</v>
      </c>
    </row>
    <row r="149" spans="2:2">
      <c r="B149" s="74" t="s">
        <v>341</v>
      </c>
    </row>
    <row r="150" spans="2:2">
      <c r="B150" s="74" t="s">
        <v>342</v>
      </c>
    </row>
    <row r="151" spans="2:2">
      <c r="B151" s="74" t="s">
        <v>343</v>
      </c>
    </row>
    <row r="152" spans="2:2">
      <c r="B152" s="74" t="s">
        <v>344</v>
      </c>
    </row>
    <row r="153" spans="2:2">
      <c r="B153" s="75"/>
    </row>
    <row r="154" spans="2:2">
      <c r="B154" s="74" t="s">
        <v>345</v>
      </c>
    </row>
    <row r="155" spans="2:2">
      <c r="B155" s="74" t="s">
        <v>346</v>
      </c>
    </row>
    <row r="156" spans="2:2">
      <c r="B156" s="74" t="s">
        <v>347</v>
      </c>
    </row>
    <row r="157" spans="2:2">
      <c r="B157" s="74" t="s">
        <v>348</v>
      </c>
    </row>
    <row r="158" spans="2:2">
      <c r="B158" s="74" t="s">
        <v>349</v>
      </c>
    </row>
    <row r="159" spans="2:2">
      <c r="B159" s="74" t="s">
        <v>350</v>
      </c>
    </row>
    <row r="160" spans="2:2">
      <c r="B160" s="74" t="s">
        <v>351</v>
      </c>
    </row>
    <row r="161" spans="2:2">
      <c r="B161" s="74" t="s">
        <v>352</v>
      </c>
    </row>
    <row r="162" spans="2:2">
      <c r="B162" s="74" t="s">
        <v>353</v>
      </c>
    </row>
    <row r="163" spans="2:2">
      <c r="B163" s="74" t="s">
        <v>354</v>
      </c>
    </row>
    <row r="164" spans="2:2">
      <c r="B164" s="74" t="s">
        <v>355</v>
      </c>
    </row>
    <row r="165" spans="2:2">
      <c r="B165" s="75"/>
    </row>
    <row r="166" spans="2:2">
      <c r="B166" s="74" t="s">
        <v>356</v>
      </c>
    </row>
    <row r="167" spans="2:2">
      <c r="B167" s="74" t="s">
        <v>357</v>
      </c>
    </row>
    <row r="168" spans="2:2">
      <c r="B168" s="74" t="s">
        <v>358</v>
      </c>
    </row>
    <row r="169" spans="2:2">
      <c r="B169" s="74" t="s">
        <v>359</v>
      </c>
    </row>
    <row r="170" spans="2:2">
      <c r="B170" s="74" t="s">
        <v>360</v>
      </c>
    </row>
    <row r="171" spans="2:2">
      <c r="B171" s="74" t="s">
        <v>361</v>
      </c>
    </row>
    <row r="172" spans="2:2">
      <c r="B172" s="74" t="s">
        <v>362</v>
      </c>
    </row>
    <row r="173" spans="2:2">
      <c r="B173" s="74" t="s">
        <v>363</v>
      </c>
    </row>
    <row r="174" spans="2:2">
      <c r="B174" s="74" t="s">
        <v>364</v>
      </c>
    </row>
    <row r="175" spans="2:2">
      <c r="B175" s="74" t="s">
        <v>365</v>
      </c>
    </row>
    <row r="176" spans="2:2">
      <c r="B176" s="75"/>
    </row>
    <row r="177" spans="2:2">
      <c r="B177" s="74" t="s">
        <v>366</v>
      </c>
    </row>
    <row r="178" spans="2:2">
      <c r="B178" s="75"/>
    </row>
    <row r="179" spans="2:2">
      <c r="B179" s="74" t="s">
        <v>367</v>
      </c>
    </row>
    <row r="180" spans="2:2">
      <c r="B180" s="75"/>
    </row>
    <row r="181" spans="2:2">
      <c r="B181" s="74" t="s">
        <v>368</v>
      </c>
    </row>
    <row r="182" spans="2:2">
      <c r="B182" s="74" t="s">
        <v>369</v>
      </c>
    </row>
    <row r="183" spans="2:2">
      <c r="B183" s="74" t="s">
        <v>370</v>
      </c>
    </row>
    <row r="184" spans="2:2">
      <c r="B184" s="74" t="s">
        <v>371</v>
      </c>
    </row>
    <row r="185" spans="2:2">
      <c r="B185" s="74" t="s">
        <v>372</v>
      </c>
    </row>
    <row r="186" spans="2:2">
      <c r="B186" s="74" t="s">
        <v>373</v>
      </c>
    </row>
    <row r="187" spans="2:2">
      <c r="B187" s="74" t="s">
        <v>374</v>
      </c>
    </row>
    <row r="188" spans="2:2">
      <c r="B188" s="74" t="s">
        <v>375</v>
      </c>
    </row>
    <row r="189" spans="2:2">
      <c r="B189" s="75"/>
    </row>
    <row r="190" spans="2:2">
      <c r="B190" s="74" t="s">
        <v>376</v>
      </c>
    </row>
    <row r="191" spans="2:2">
      <c r="B191" s="75"/>
    </row>
    <row r="192" spans="2:2">
      <c r="B192" s="74" t="s">
        <v>377</v>
      </c>
    </row>
    <row r="193" spans="2:2">
      <c r="B193" s="74" t="s">
        <v>378</v>
      </c>
    </row>
    <row r="194" spans="2:2">
      <c r="B194" s="74" t="s">
        <v>379</v>
      </c>
    </row>
    <row r="195" spans="2:2">
      <c r="B195" s="75"/>
    </row>
    <row r="196" spans="2:2">
      <c r="B196" s="74" t="s">
        <v>380</v>
      </c>
    </row>
    <row r="197" spans="2:2">
      <c r="B197" s="75"/>
    </row>
    <row r="198" spans="2:2">
      <c r="B198" s="74" t="s">
        <v>381</v>
      </c>
    </row>
    <row r="199" spans="2:2">
      <c r="B199" s="74" t="s">
        <v>382</v>
      </c>
    </row>
    <row r="200" spans="2:2">
      <c r="B200" s="74" t="s">
        <v>383</v>
      </c>
    </row>
    <row r="201" spans="2:2">
      <c r="B201" s="74" t="s">
        <v>384</v>
      </c>
    </row>
    <row r="202" spans="2:2">
      <c r="B202" s="74" t="s">
        <v>385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32A05-E3D2-424A-9811-85C95FBCCAB1}">
  <sheetPr codeName="Sheet23"/>
  <dimension ref="A1:B19"/>
  <sheetViews>
    <sheetView showGridLines="0" workbookViewId="0">
      <selection activeCell="B15" sqref="B15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C:\Sync\git_hub\vba_samplicity\[02_magnus_reinsurance.xlsm]Index</v>
      </c>
    </row>
    <row r="2" spans="1:2">
      <c r="A2" s="14" t="s">
        <v>206</v>
      </c>
    </row>
    <row r="3" spans="1:2">
      <c r="A3" s="14" t="s">
        <v>140</v>
      </c>
    </row>
    <row r="5" spans="1:2">
      <c r="B5" s="25" t="s">
        <v>183</v>
      </c>
    </row>
    <row r="6" spans="1:2">
      <c r="B6" s="45" t="s">
        <v>182</v>
      </c>
    </row>
    <row r="7" spans="1:2">
      <c r="B7" s="45" t="s">
        <v>439</v>
      </c>
    </row>
    <row r="10" spans="1:2">
      <c r="B10" s="25" t="s">
        <v>184</v>
      </c>
    </row>
    <row r="11" spans="1:2">
      <c r="B11" s="45" t="s">
        <v>81</v>
      </c>
    </row>
    <row r="12" spans="1:2">
      <c r="B12" s="45" t="s">
        <v>440</v>
      </c>
    </row>
    <row r="14" spans="1:2">
      <c r="B14" s="25" t="s">
        <v>207</v>
      </c>
    </row>
    <row r="15" spans="1:2">
      <c r="B15" s="45" t="s">
        <v>438</v>
      </c>
    </row>
    <row r="18" spans="2:2">
      <c r="B18" s="25" t="s">
        <v>185</v>
      </c>
    </row>
    <row r="19" spans="2:2">
      <c r="B19" s="45" t="s">
        <v>185</v>
      </c>
    </row>
  </sheetData>
  <hyperlinks>
    <hyperlink ref="B6" location="prem_res!A1" display="Premium and Reserve Risk Inputs" xr:uid="{1521B3C1-3AA4-4115-A1EB-DF8CD8219024}"/>
    <hyperlink ref="B11" location="PremRes!A1" display="Premium and Reserve Risk" xr:uid="{18B531B3-376F-4060-BEA6-3DAAFBDAAABC}"/>
    <hyperlink ref="B19" location="metadata!A1" display="Metadata" xr:uid="{9292FDA6-30BC-43F0-A7F8-E06F1E584DF5}"/>
    <hyperlink ref="B7" location="reinsurance_setup!A1" display="Reinsurance Setup" xr:uid="{0E15EB80-B92C-494B-A6F7-DB4CE6F3A805}"/>
    <hyperlink ref="B12" location="Reinsurance!A1" display="Reinsurance" xr:uid="{B9433E8B-4855-4844-B6CD-7A4851094582}"/>
    <hyperlink ref="B15" location="'Reinsurance Calculation'!A1" display="Reinsurance Proof" xr:uid="{67AC026D-C41D-40BA-90C0-3D81DB016755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5985-0FC7-4547-82B5-B6721DC20FFE}">
  <sheetPr codeName="Sheet36"/>
  <dimension ref="A1:B34"/>
  <sheetViews>
    <sheetView showGridLines="0" workbookViewId="0">
      <selection activeCell="B16" sqref="B16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C:\Sync\git_hub\vba_samplicity\[02_magnus_reinsurance.xlsm]Notes</v>
      </c>
    </row>
    <row r="2" spans="1:2">
      <c r="A2" s="14" t="s">
        <v>206</v>
      </c>
    </row>
    <row r="3" spans="1:2">
      <c r="A3" s="14" t="s">
        <v>208</v>
      </c>
    </row>
    <row r="5" spans="1:2">
      <c r="B5" t="s">
        <v>504</v>
      </c>
    </row>
    <row r="6" spans="1:2">
      <c r="B6" s="37" t="s">
        <v>505</v>
      </c>
    </row>
    <row r="7" spans="1:2">
      <c r="B7" t="s">
        <v>397</v>
      </c>
    </row>
    <row r="9" spans="1:2">
      <c r="B9" s="14" t="s">
        <v>386</v>
      </c>
    </row>
    <row r="10" spans="1:2">
      <c r="B10" t="s">
        <v>398</v>
      </c>
    </row>
    <row r="11" spans="1:2">
      <c r="B11" t="s">
        <v>387</v>
      </c>
    </row>
    <row r="12" spans="1:2">
      <c r="B12" s="25" t="s">
        <v>394</v>
      </c>
    </row>
    <row r="14" spans="1:2">
      <c r="B14" s="14" t="s">
        <v>389</v>
      </c>
    </row>
    <row r="15" spans="1:2">
      <c r="B15" t="s">
        <v>390</v>
      </c>
    </row>
    <row r="16" spans="1:2">
      <c r="B16" s="37" t="s">
        <v>444</v>
      </c>
    </row>
    <row r="17" spans="2:2">
      <c r="B17" s="76" t="s">
        <v>399</v>
      </c>
    </row>
    <row r="19" spans="2:2">
      <c r="B19" s="14" t="s">
        <v>183</v>
      </c>
    </row>
    <row r="20" spans="2:2">
      <c r="B20" t="s">
        <v>400</v>
      </c>
    </row>
    <row r="21" spans="2:2">
      <c r="B21" t="s">
        <v>401</v>
      </c>
    </row>
    <row r="23" spans="2:2">
      <c r="B23" s="14" t="s">
        <v>184</v>
      </c>
    </row>
    <row r="24" spans="2:2">
      <c r="B24" t="s">
        <v>402</v>
      </c>
    </row>
    <row r="26" spans="2:2">
      <c r="B26" s="14" t="s">
        <v>438</v>
      </c>
    </row>
    <row r="27" spans="2:2">
      <c r="B27" t="s">
        <v>502</v>
      </c>
    </row>
    <row r="28" spans="2:2">
      <c r="B28" t="s">
        <v>403</v>
      </c>
    </row>
    <row r="29" spans="2:2">
      <c r="B29" t="s">
        <v>395</v>
      </c>
    </row>
    <row r="30" spans="2:2">
      <c r="B30" t="s">
        <v>503</v>
      </c>
    </row>
    <row r="32" spans="2:2">
      <c r="B32" s="14" t="s">
        <v>185</v>
      </c>
    </row>
    <row r="33" spans="2:2">
      <c r="B33" t="s">
        <v>396</v>
      </c>
    </row>
    <row r="34" spans="2:2">
      <c r="B34" t="s">
        <v>388</v>
      </c>
    </row>
  </sheetData>
  <hyperlinks>
    <hyperlink ref="B6" r:id="rId1" xr:uid="{D9ADC99E-9985-4BA7-893A-68B2D5ECC204}"/>
    <hyperlink ref="B16" r:id="rId2" xr:uid="{29431E47-051C-4C7E-B046-7FFD8C63EA2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77BBB-B20A-46D1-A3BB-AA0F3A35AF13}">
  <sheetPr codeName="Sheet24">
    <tabColor rgb="FFFFFFCC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A7B1-2563-47EB-B19A-83A608000FE2}">
  <sheetPr codeName="Sheet1"/>
  <dimension ref="A1:AE49"/>
  <sheetViews>
    <sheetView topLeftCell="C1" workbookViewId="0">
      <selection activeCell="H7" sqref="H7"/>
    </sheetView>
  </sheetViews>
  <sheetFormatPr defaultRowHeight="14.5"/>
  <cols>
    <col min="1" max="1" width="1.6328125" customWidth="1"/>
    <col min="2" max="2" width="13" customWidth="1"/>
    <col min="3" max="3" width="13.81640625" customWidth="1"/>
    <col min="4" max="4" width="10.26953125" customWidth="1"/>
    <col min="6" max="6" width="13.453125" bestFit="1" customWidth="1"/>
    <col min="7" max="7" width="13.36328125" customWidth="1"/>
    <col min="8" max="8" width="16.08984375" customWidth="1"/>
    <col min="9" max="9" width="17.7265625" customWidth="1"/>
    <col min="10" max="10" width="16.26953125" customWidth="1"/>
    <col min="11" max="12" width="13" customWidth="1"/>
    <col min="13" max="13" width="10.1796875" bestFit="1" customWidth="1"/>
    <col min="14" max="14" width="19.1796875" customWidth="1"/>
    <col min="15" max="15" width="14.36328125" customWidth="1"/>
    <col min="16" max="16" width="16" customWidth="1"/>
    <col min="17" max="17" width="14.453125" customWidth="1"/>
    <col min="18" max="19" width="11.1796875" customWidth="1"/>
    <col min="20" max="20" width="18.54296875" customWidth="1"/>
    <col min="21" max="21" width="15.7265625" customWidth="1"/>
    <col min="22" max="22" width="15.54296875" customWidth="1"/>
    <col min="23" max="23" width="14.1796875" customWidth="1"/>
    <col min="24" max="24" width="8.7265625" customWidth="1"/>
    <col min="25" max="26" width="30.453125" customWidth="1"/>
    <col min="27" max="27" width="19.54296875" customWidth="1"/>
  </cols>
  <sheetData>
    <row r="1" spans="1:31">
      <c r="A1" t="str" cm="1">
        <f t="array" aca="1" ref="A1" ca="1">CELL("filename",A1)</f>
        <v>C:\Sync\git_hub\vba_samplicity\[02_magnus_reinsurance.xlsm]prem_res</v>
      </c>
    </row>
    <row r="2" spans="1:31">
      <c r="A2" s="14" t="s">
        <v>206</v>
      </c>
    </row>
    <row r="3" spans="1:31">
      <c r="A3" s="14" t="s">
        <v>182</v>
      </c>
    </row>
    <row r="5" spans="1:31">
      <c r="B5" s="50" t="s">
        <v>0</v>
      </c>
      <c r="C5" s="51" t="s">
        <v>96</v>
      </c>
      <c r="D5" s="52" t="s">
        <v>1</v>
      </c>
      <c r="E5" s="52" t="s">
        <v>2</v>
      </c>
      <c r="F5" s="52" t="s">
        <v>3</v>
      </c>
      <c r="G5" s="52" t="s">
        <v>4</v>
      </c>
      <c r="H5" s="52" t="s">
        <v>5</v>
      </c>
      <c r="I5" s="52" t="s">
        <v>6</v>
      </c>
      <c r="J5" s="52" t="s">
        <v>7</v>
      </c>
      <c r="K5" s="52" t="s">
        <v>8</v>
      </c>
      <c r="L5" s="52" t="s">
        <v>9</v>
      </c>
      <c r="M5" s="52" t="s">
        <v>10</v>
      </c>
      <c r="N5" s="52" t="s">
        <v>11</v>
      </c>
      <c r="O5" s="52" t="s">
        <v>12</v>
      </c>
      <c r="P5" s="52" t="s">
        <v>13</v>
      </c>
      <c r="Q5" s="52" t="s">
        <v>14</v>
      </c>
      <c r="R5" s="52" t="s">
        <v>15</v>
      </c>
      <c r="S5" s="52" t="s">
        <v>16</v>
      </c>
      <c r="T5" s="52" t="s">
        <v>17</v>
      </c>
      <c r="U5" s="52" t="s">
        <v>180</v>
      </c>
      <c r="V5" s="52" t="s">
        <v>18</v>
      </c>
      <c r="W5" s="53" t="s">
        <v>19</v>
      </c>
      <c r="Y5" s="50" t="s">
        <v>18</v>
      </c>
      <c r="Z5" s="51" t="s">
        <v>36</v>
      </c>
      <c r="AA5" s="60" t="s">
        <v>37</v>
      </c>
    </row>
    <row r="6" spans="1:31">
      <c r="B6" s="46" t="s">
        <v>194</v>
      </c>
      <c r="C6" s="17" t="s">
        <v>198</v>
      </c>
      <c r="D6" s="17" t="s">
        <v>20</v>
      </c>
      <c r="E6" s="17" t="s">
        <v>21</v>
      </c>
      <c r="F6" s="44">
        <v>3608361</v>
      </c>
      <c r="G6" s="44">
        <v>3572277.39</v>
      </c>
      <c r="H6" s="44">
        <v>2100</v>
      </c>
      <c r="I6" s="44">
        <v>5454</v>
      </c>
      <c r="J6" s="44"/>
      <c r="K6" s="44">
        <v>1623762.45</v>
      </c>
      <c r="L6" s="44"/>
      <c r="M6" s="44">
        <v>1804180.5</v>
      </c>
      <c r="N6" s="44">
        <v>1786138.6950000001</v>
      </c>
      <c r="O6" s="44">
        <v>1050</v>
      </c>
      <c r="P6" s="44">
        <v>0</v>
      </c>
      <c r="Q6" s="44">
        <v>0</v>
      </c>
      <c r="R6" s="44">
        <v>811881.22499999998</v>
      </c>
      <c r="S6" s="44"/>
      <c r="T6" s="17" t="s">
        <v>22</v>
      </c>
      <c r="U6" s="17" t="s">
        <v>23</v>
      </c>
      <c r="V6" s="17" t="s">
        <v>24</v>
      </c>
      <c r="W6" s="48" t="s">
        <v>25</v>
      </c>
      <c r="Y6" s="46" t="s">
        <v>24</v>
      </c>
      <c r="Z6" s="17" t="s">
        <v>188</v>
      </c>
      <c r="AA6" s="58">
        <v>0.25</v>
      </c>
    </row>
    <row r="7" spans="1:31">
      <c r="B7" s="47" t="s">
        <v>195</v>
      </c>
      <c r="C7" s="18" t="s">
        <v>199</v>
      </c>
      <c r="D7" s="18" t="s">
        <v>20</v>
      </c>
      <c r="E7" s="18" t="s">
        <v>38</v>
      </c>
      <c r="F7" s="42">
        <v>-3290419</v>
      </c>
      <c r="G7" s="42">
        <v>3027185.48</v>
      </c>
      <c r="H7" s="42">
        <v>2100</v>
      </c>
      <c r="I7" s="42"/>
      <c r="J7" s="42"/>
      <c r="K7" s="42">
        <v>921317.32000000007</v>
      </c>
      <c r="L7" s="42"/>
      <c r="M7" s="42">
        <v>-3290419</v>
      </c>
      <c r="N7" s="42">
        <v>3027185.48</v>
      </c>
      <c r="O7" s="42">
        <v>2100</v>
      </c>
      <c r="P7" s="42">
        <v>0</v>
      </c>
      <c r="Q7" s="42">
        <v>0</v>
      </c>
      <c r="R7" s="42">
        <v>921317.32000000007</v>
      </c>
      <c r="S7" s="42"/>
      <c r="T7" s="18" t="s">
        <v>22</v>
      </c>
      <c r="U7" s="18" t="s">
        <v>23</v>
      </c>
      <c r="V7" s="18"/>
      <c r="W7" s="49" t="s">
        <v>25</v>
      </c>
      <c r="Y7" s="47" t="s">
        <v>24</v>
      </c>
      <c r="Z7" s="18" t="s">
        <v>189</v>
      </c>
      <c r="AA7" s="59">
        <v>0.2</v>
      </c>
      <c r="AE7" t="e" vm="1">
        <f>_xleta.T</f>
        <v>#VALUE!</v>
      </c>
    </row>
    <row r="8" spans="1:31">
      <c r="B8" s="64" t="s">
        <v>196</v>
      </c>
      <c r="C8" s="18" t="s">
        <v>200</v>
      </c>
      <c r="D8" s="18" t="s">
        <v>72</v>
      </c>
      <c r="E8" s="18" t="s">
        <v>39</v>
      </c>
      <c r="F8" s="42">
        <v>3162038</v>
      </c>
      <c r="G8" s="42">
        <v>3509862.18</v>
      </c>
      <c r="H8" s="42">
        <v>2000</v>
      </c>
      <c r="I8" s="42"/>
      <c r="J8" s="42">
        <v>85</v>
      </c>
      <c r="K8" s="42">
        <v>1264815.2000000002</v>
      </c>
      <c r="L8" s="42"/>
      <c r="M8" s="42">
        <v>1581019</v>
      </c>
      <c r="N8" s="42">
        <v>1754931.09</v>
      </c>
      <c r="O8" s="42">
        <v>1000</v>
      </c>
      <c r="P8" s="42">
        <v>0</v>
      </c>
      <c r="Q8" s="42">
        <v>0</v>
      </c>
      <c r="R8" s="42">
        <v>632407.60000000009</v>
      </c>
      <c r="S8" s="42"/>
      <c r="T8" s="18" t="s">
        <v>22</v>
      </c>
      <c r="U8" s="18" t="s">
        <v>23</v>
      </c>
      <c r="V8" s="18" t="s">
        <v>24</v>
      </c>
      <c r="W8" s="49" t="s">
        <v>26</v>
      </c>
      <c r="Y8" s="47" t="s">
        <v>35</v>
      </c>
      <c r="Z8" s="18" t="s">
        <v>189</v>
      </c>
      <c r="AA8" s="59">
        <v>0.05</v>
      </c>
    </row>
    <row r="9" spans="1:31">
      <c r="B9" s="65" t="s">
        <v>194</v>
      </c>
      <c r="C9" s="18" t="s">
        <v>201</v>
      </c>
      <c r="D9" s="18" t="s">
        <v>20</v>
      </c>
      <c r="E9" s="18" t="s">
        <v>40</v>
      </c>
      <c r="F9" s="42">
        <v>4161925</v>
      </c>
      <c r="G9" s="42">
        <v>3995448</v>
      </c>
      <c r="H9" s="42">
        <v>2900</v>
      </c>
      <c r="I9" s="42"/>
      <c r="J9" s="42"/>
      <c r="K9" s="42">
        <v>1623150.75</v>
      </c>
      <c r="L9" s="42"/>
      <c r="M9" s="42">
        <v>3537636.25</v>
      </c>
      <c r="N9" s="42">
        <v>3396130.8</v>
      </c>
      <c r="O9" s="42">
        <v>2465</v>
      </c>
      <c r="P9" s="42">
        <v>0</v>
      </c>
      <c r="Q9" s="42">
        <v>0</v>
      </c>
      <c r="R9" s="42">
        <v>1379678.1375</v>
      </c>
      <c r="S9" s="42"/>
      <c r="T9" s="18" t="s">
        <v>22</v>
      </c>
      <c r="U9" s="18" t="s">
        <v>23</v>
      </c>
      <c r="V9" s="18" t="s">
        <v>35</v>
      </c>
      <c r="W9" s="49" t="s">
        <v>26</v>
      </c>
      <c r="Y9" s="47" t="s">
        <v>35</v>
      </c>
      <c r="Z9" s="18" t="s">
        <v>190</v>
      </c>
      <c r="AA9" s="59">
        <v>0.09</v>
      </c>
    </row>
    <row r="10" spans="1:31">
      <c r="B10" s="65" t="s">
        <v>196</v>
      </c>
      <c r="C10" s="18" t="s">
        <v>202</v>
      </c>
      <c r="D10" s="18" t="s">
        <v>72</v>
      </c>
      <c r="E10" s="18" t="s">
        <v>21</v>
      </c>
      <c r="F10" s="42">
        <v>4503698</v>
      </c>
      <c r="G10" s="42">
        <v>4503698</v>
      </c>
      <c r="H10" s="42">
        <v>2900</v>
      </c>
      <c r="I10" s="42"/>
      <c r="J10" s="42"/>
      <c r="K10" s="42">
        <v>2026664.1</v>
      </c>
      <c r="L10" s="42"/>
      <c r="M10" s="42">
        <v>4503698</v>
      </c>
      <c r="N10" s="42">
        <v>4503698</v>
      </c>
      <c r="O10" s="42">
        <v>2900</v>
      </c>
      <c r="P10" s="42">
        <v>0</v>
      </c>
      <c r="Q10" s="42">
        <v>0</v>
      </c>
      <c r="R10" s="42">
        <v>2026664.1</v>
      </c>
      <c r="S10" s="42"/>
      <c r="T10" s="18" t="s">
        <v>22</v>
      </c>
      <c r="U10" s="18" t="s">
        <v>23</v>
      </c>
      <c r="V10" s="18"/>
      <c r="W10" s="49"/>
      <c r="Y10" s="47" t="s">
        <v>27</v>
      </c>
      <c r="Z10" s="18" t="s">
        <v>191</v>
      </c>
      <c r="AA10" s="59">
        <v>0.95</v>
      </c>
    </row>
    <row r="11" spans="1:31">
      <c r="B11" s="65" t="s">
        <v>197</v>
      </c>
      <c r="C11" s="18" t="s">
        <v>199</v>
      </c>
      <c r="D11" s="18" t="s">
        <v>20</v>
      </c>
      <c r="E11" s="18" t="s">
        <v>42</v>
      </c>
      <c r="F11" s="42">
        <v>2264437</v>
      </c>
      <c r="G11" s="42">
        <v>1947415.82</v>
      </c>
      <c r="H11" s="42">
        <v>3500</v>
      </c>
      <c r="I11" s="42">
        <v>454</v>
      </c>
      <c r="J11" s="42"/>
      <c r="K11" s="42">
        <v>747264.21000000008</v>
      </c>
      <c r="L11" s="42"/>
      <c r="M11" s="42">
        <v>2264437</v>
      </c>
      <c r="N11" s="42">
        <v>1947415.82</v>
      </c>
      <c r="O11" s="42">
        <v>3500</v>
      </c>
      <c r="P11" s="42">
        <v>0</v>
      </c>
      <c r="Q11" s="42">
        <v>0</v>
      </c>
      <c r="R11" s="42">
        <v>747264.21000000008</v>
      </c>
      <c r="S11" s="42"/>
      <c r="T11" s="18" t="s">
        <v>23</v>
      </c>
      <c r="U11" s="18" t="s">
        <v>23</v>
      </c>
      <c r="V11" s="18"/>
      <c r="W11" s="49"/>
      <c r="Y11" s="47" t="s">
        <v>29</v>
      </c>
      <c r="Z11" s="18" t="s">
        <v>188</v>
      </c>
      <c r="AA11" s="59">
        <v>0.95</v>
      </c>
    </row>
    <row r="12" spans="1:31">
      <c r="B12" s="65" t="s">
        <v>196</v>
      </c>
      <c r="C12" s="18" t="s">
        <v>200</v>
      </c>
      <c r="D12" s="18" t="s">
        <v>20</v>
      </c>
      <c r="E12" s="18" t="s">
        <v>43</v>
      </c>
      <c r="F12" s="42">
        <v>3854965</v>
      </c>
      <c r="G12" s="42">
        <v>3893514.65</v>
      </c>
      <c r="H12" s="42">
        <v>2100</v>
      </c>
      <c r="I12" s="42"/>
      <c r="J12" s="42"/>
      <c r="K12" s="42">
        <v>1580535.65</v>
      </c>
      <c r="L12" s="42"/>
      <c r="M12" s="42">
        <v>1927482.5</v>
      </c>
      <c r="N12" s="42">
        <v>1946757.325</v>
      </c>
      <c r="O12" s="42">
        <v>1050</v>
      </c>
      <c r="P12" s="42">
        <v>0</v>
      </c>
      <c r="Q12" s="42">
        <v>0</v>
      </c>
      <c r="R12" s="42">
        <v>790267.82499999995</v>
      </c>
      <c r="S12" s="42"/>
      <c r="T12" s="18" t="s">
        <v>23</v>
      </c>
      <c r="U12" s="18" t="s">
        <v>23</v>
      </c>
      <c r="V12" s="18" t="s">
        <v>24</v>
      </c>
      <c r="W12" s="49"/>
      <c r="Y12" s="47" t="s">
        <v>30</v>
      </c>
      <c r="Z12" s="18" t="s">
        <v>192</v>
      </c>
      <c r="AA12" s="59">
        <v>0.95</v>
      </c>
    </row>
    <row r="13" spans="1:31">
      <c r="B13" s="65" t="s">
        <v>194</v>
      </c>
      <c r="C13" s="18" t="s">
        <v>201</v>
      </c>
      <c r="D13" s="18" t="s">
        <v>72</v>
      </c>
      <c r="E13" s="18" t="s">
        <v>44</v>
      </c>
      <c r="F13" s="42">
        <v>4966421</v>
      </c>
      <c r="G13" s="42">
        <v>5065749.42</v>
      </c>
      <c r="H13" s="42">
        <v>2000</v>
      </c>
      <c r="I13" s="42"/>
      <c r="J13" s="42"/>
      <c r="K13" s="42">
        <v>1440262.0899999999</v>
      </c>
      <c r="L13" s="42"/>
      <c r="M13" s="42">
        <v>4966421</v>
      </c>
      <c r="N13" s="42">
        <v>5065749.42</v>
      </c>
      <c r="O13" s="42">
        <v>2000</v>
      </c>
      <c r="P13" s="42">
        <v>0</v>
      </c>
      <c r="Q13" s="42">
        <v>0</v>
      </c>
      <c r="R13" s="42">
        <v>1440262.0899999999</v>
      </c>
      <c r="S13" s="42"/>
      <c r="T13" s="18" t="s">
        <v>23</v>
      </c>
      <c r="U13" s="18" t="s">
        <v>23</v>
      </c>
      <c r="V13" s="18"/>
      <c r="W13" s="49"/>
      <c r="Y13" s="47" t="s">
        <v>31</v>
      </c>
      <c r="Z13" s="18" t="s">
        <v>189</v>
      </c>
      <c r="AA13" s="59">
        <v>0.95</v>
      </c>
    </row>
    <row r="14" spans="1:31">
      <c r="B14" s="65" t="s">
        <v>196</v>
      </c>
      <c r="C14" s="18" t="s">
        <v>202</v>
      </c>
      <c r="D14" s="18" t="s">
        <v>20</v>
      </c>
      <c r="E14" s="18" t="s">
        <v>45</v>
      </c>
      <c r="F14" s="42">
        <v>1419290</v>
      </c>
      <c r="G14" s="42">
        <v>1263168.1000000001</v>
      </c>
      <c r="H14" s="42">
        <v>2900</v>
      </c>
      <c r="I14" s="42">
        <v>545</v>
      </c>
      <c r="J14" s="42"/>
      <c r="K14" s="42">
        <v>383208.30000000005</v>
      </c>
      <c r="L14" s="42"/>
      <c r="M14" s="42">
        <v>1419290</v>
      </c>
      <c r="N14" s="42">
        <v>1263168.1000000001</v>
      </c>
      <c r="O14" s="42">
        <v>2900</v>
      </c>
      <c r="P14" s="42"/>
      <c r="Q14" s="42"/>
      <c r="R14" s="42">
        <v>383208.30000000005</v>
      </c>
      <c r="S14" s="42"/>
      <c r="T14" s="18" t="s">
        <v>23</v>
      </c>
      <c r="U14" s="18" t="s">
        <v>23</v>
      </c>
      <c r="V14" s="18"/>
      <c r="W14" s="49"/>
      <c r="Y14" s="47" t="s">
        <v>32</v>
      </c>
      <c r="Z14" s="18" t="s">
        <v>189</v>
      </c>
      <c r="AA14" s="59">
        <v>0.95</v>
      </c>
    </row>
    <row r="15" spans="1:31">
      <c r="B15" s="65" t="s">
        <v>194</v>
      </c>
      <c r="C15" s="18" t="s">
        <v>200</v>
      </c>
      <c r="D15" s="18" t="s">
        <v>20</v>
      </c>
      <c r="E15" s="18" t="s">
        <v>46</v>
      </c>
      <c r="F15" s="42">
        <v>1923942</v>
      </c>
      <c r="G15" s="42">
        <v>2212533.2999999998</v>
      </c>
      <c r="H15" s="42">
        <v>2900</v>
      </c>
      <c r="I15" s="42"/>
      <c r="J15" s="42"/>
      <c r="K15" s="42">
        <v>634900.86</v>
      </c>
      <c r="L15" s="42"/>
      <c r="M15" s="42">
        <v>1923942</v>
      </c>
      <c r="N15" s="42">
        <v>2212533.2999999998</v>
      </c>
      <c r="O15" s="42">
        <v>2900</v>
      </c>
      <c r="P15" s="42"/>
      <c r="Q15" s="42"/>
      <c r="R15" s="42">
        <v>634900.86</v>
      </c>
      <c r="S15" s="42"/>
      <c r="T15" s="18" t="s">
        <v>23</v>
      </c>
      <c r="U15" s="18" t="s">
        <v>23</v>
      </c>
      <c r="V15" s="18"/>
      <c r="W15" s="49"/>
      <c r="Y15" s="47" t="s">
        <v>33</v>
      </c>
      <c r="Z15" s="18" t="s">
        <v>190</v>
      </c>
      <c r="AA15" s="59">
        <v>0.95</v>
      </c>
    </row>
    <row r="16" spans="1:31">
      <c r="B16" s="65" t="s">
        <v>195</v>
      </c>
      <c r="C16" s="18" t="s">
        <v>201</v>
      </c>
      <c r="D16" s="18" t="s">
        <v>72</v>
      </c>
      <c r="E16" s="18" t="s">
        <v>47</v>
      </c>
      <c r="F16" s="42">
        <v>4000313</v>
      </c>
      <c r="G16" s="42">
        <v>-3644812</v>
      </c>
      <c r="H16" s="42">
        <v>3500</v>
      </c>
      <c r="I16" s="42"/>
      <c r="J16" s="42"/>
      <c r="K16" s="42">
        <v>1800140.85</v>
      </c>
      <c r="L16" s="42"/>
      <c r="M16" s="42">
        <v>3400266.05</v>
      </c>
      <c r="N16" s="42">
        <v>3060239.4450000003</v>
      </c>
      <c r="O16" s="42">
        <v>2975</v>
      </c>
      <c r="P16" s="42"/>
      <c r="Q16" s="42"/>
      <c r="R16" s="42">
        <v>1530119.7225000001</v>
      </c>
      <c r="S16" s="42"/>
      <c r="T16" s="18" t="s">
        <v>23</v>
      </c>
      <c r="U16" s="18" t="s">
        <v>23</v>
      </c>
      <c r="V16" s="18" t="s">
        <v>35</v>
      </c>
      <c r="W16" s="49"/>
      <c r="Y16" s="47" t="s">
        <v>28</v>
      </c>
      <c r="Z16" s="18" t="s">
        <v>191</v>
      </c>
      <c r="AA16" s="59">
        <v>0.95</v>
      </c>
    </row>
    <row r="17" spans="2:27">
      <c r="B17" s="65" t="s">
        <v>196</v>
      </c>
      <c r="C17" s="18" t="s">
        <v>202</v>
      </c>
      <c r="D17" s="18" t="s">
        <v>20</v>
      </c>
      <c r="E17" s="18" t="s">
        <v>48</v>
      </c>
      <c r="F17" s="42">
        <v>1652831</v>
      </c>
      <c r="G17" s="42">
        <v>1669359.31</v>
      </c>
      <c r="H17" s="42">
        <v>2100</v>
      </c>
      <c r="I17" s="42"/>
      <c r="J17" s="42">
        <v>895</v>
      </c>
      <c r="K17" s="42">
        <v>462792.68000000005</v>
      </c>
      <c r="L17" s="42"/>
      <c r="M17" s="42">
        <v>1652831</v>
      </c>
      <c r="N17" s="42">
        <v>1669359.31</v>
      </c>
      <c r="O17" s="42">
        <v>2100</v>
      </c>
      <c r="P17" s="42"/>
      <c r="Q17" s="42"/>
      <c r="R17" s="42">
        <v>462792.68000000005</v>
      </c>
      <c r="S17" s="42"/>
      <c r="T17" s="18" t="s">
        <v>23</v>
      </c>
      <c r="U17" s="18" t="s">
        <v>23</v>
      </c>
      <c r="V17" s="18"/>
      <c r="W17" s="49"/>
      <c r="Y17" s="54" t="s">
        <v>34</v>
      </c>
      <c r="Z17" s="55" t="s">
        <v>193</v>
      </c>
      <c r="AA17" s="61">
        <v>0.95</v>
      </c>
    </row>
    <row r="18" spans="2:27">
      <c r="B18" s="65" t="s">
        <v>194</v>
      </c>
      <c r="C18" s="18" t="s">
        <v>203</v>
      </c>
      <c r="D18" s="18" t="s">
        <v>20</v>
      </c>
      <c r="E18" s="18" t="s">
        <v>49</v>
      </c>
      <c r="F18" s="42">
        <v>4988704</v>
      </c>
      <c r="G18" s="42">
        <v>5188252.16</v>
      </c>
      <c r="H18" s="42">
        <v>2900</v>
      </c>
      <c r="I18" s="42"/>
      <c r="J18" s="42"/>
      <c r="K18" s="42">
        <v>2195029.7600000002</v>
      </c>
      <c r="L18" s="42"/>
      <c r="M18" s="42">
        <v>4988704</v>
      </c>
      <c r="N18" s="42">
        <v>5188252.16</v>
      </c>
      <c r="O18" s="42">
        <v>2900</v>
      </c>
      <c r="P18" s="42"/>
      <c r="Q18" s="42"/>
      <c r="R18" s="42">
        <v>2195029.7600000002</v>
      </c>
      <c r="S18" s="42"/>
      <c r="T18" s="18" t="s">
        <v>23</v>
      </c>
      <c r="U18" s="18" t="s">
        <v>23</v>
      </c>
      <c r="V18" s="18"/>
      <c r="W18" s="49"/>
    </row>
    <row r="19" spans="2:27">
      <c r="B19" s="65" t="s">
        <v>194</v>
      </c>
      <c r="C19" s="18" t="s">
        <v>204</v>
      </c>
      <c r="D19" s="18" t="s">
        <v>20</v>
      </c>
      <c r="E19" s="18" t="s">
        <v>50</v>
      </c>
      <c r="F19" s="42">
        <v>2834586</v>
      </c>
      <c r="G19" s="42">
        <v>2749548.42</v>
      </c>
      <c r="H19" s="42">
        <v>2900</v>
      </c>
      <c r="I19" s="42"/>
      <c r="J19" s="42"/>
      <c r="K19" s="42">
        <v>1218871.98</v>
      </c>
      <c r="L19" s="42"/>
      <c r="M19" s="42">
        <v>1417293</v>
      </c>
      <c r="N19" s="42">
        <v>1374774.21</v>
      </c>
      <c r="O19" s="42">
        <v>1450</v>
      </c>
      <c r="P19" s="42"/>
      <c r="Q19" s="42"/>
      <c r="R19" s="42">
        <v>609435.99</v>
      </c>
      <c r="S19" s="42"/>
      <c r="T19" s="18" t="s">
        <v>23</v>
      </c>
      <c r="U19" s="18" t="s">
        <v>23</v>
      </c>
      <c r="V19" s="18" t="s">
        <v>24</v>
      </c>
      <c r="W19" s="49"/>
    </row>
    <row r="20" spans="2:27">
      <c r="B20" s="65" t="s">
        <v>195</v>
      </c>
      <c r="C20" s="18" t="s">
        <v>205</v>
      </c>
      <c r="D20" s="18" t="s">
        <v>20</v>
      </c>
      <c r="E20" s="18" t="s">
        <v>51</v>
      </c>
      <c r="F20" s="42">
        <v>2687528</v>
      </c>
      <c r="G20" s="42">
        <v>2741278.56</v>
      </c>
      <c r="H20" s="42">
        <v>3500</v>
      </c>
      <c r="I20" s="42"/>
      <c r="J20" s="42"/>
      <c r="K20" s="42">
        <v>940634.79999999993</v>
      </c>
      <c r="L20" s="42"/>
      <c r="M20" s="42">
        <v>2687528</v>
      </c>
      <c r="N20" s="42">
        <v>2741278.56</v>
      </c>
      <c r="O20" s="42">
        <v>3500</v>
      </c>
      <c r="P20" s="42"/>
      <c r="Q20" s="42"/>
      <c r="R20" s="42">
        <v>940634.79999999993</v>
      </c>
      <c r="S20" s="42"/>
      <c r="T20" s="18" t="s">
        <v>23</v>
      </c>
      <c r="U20" s="18" t="s">
        <v>23</v>
      </c>
      <c r="V20" s="18"/>
      <c r="W20" s="49"/>
    </row>
    <row r="21" spans="2:27">
      <c r="B21" s="65" t="s">
        <v>196</v>
      </c>
      <c r="C21" s="18" t="s">
        <v>203</v>
      </c>
      <c r="D21" s="18" t="s">
        <v>72</v>
      </c>
      <c r="E21" s="18" t="s">
        <v>52</v>
      </c>
      <c r="F21" s="42">
        <v>-3598</v>
      </c>
      <c r="G21" s="42">
        <v>3054866.44</v>
      </c>
      <c r="H21" s="42">
        <v>2100</v>
      </c>
      <c r="I21" s="42">
        <v>-4587</v>
      </c>
      <c r="J21" s="42"/>
      <c r="K21" s="42">
        <v>896536.89</v>
      </c>
      <c r="L21" s="42"/>
      <c r="M21" s="42">
        <v>3320507</v>
      </c>
      <c r="N21" s="42">
        <v>3054866.44</v>
      </c>
      <c r="O21" s="42">
        <v>2100</v>
      </c>
      <c r="P21" s="42"/>
      <c r="Q21" s="42"/>
      <c r="R21" s="42">
        <v>896536.89</v>
      </c>
      <c r="S21" s="42"/>
      <c r="T21" s="18" t="s">
        <v>23</v>
      </c>
      <c r="U21" s="18" t="s">
        <v>23</v>
      </c>
      <c r="V21" s="18"/>
      <c r="W21" s="49"/>
    </row>
    <row r="22" spans="2:27">
      <c r="B22" s="65" t="s">
        <v>194</v>
      </c>
      <c r="C22" s="18" t="s">
        <v>204</v>
      </c>
      <c r="D22" s="18" t="s">
        <v>20</v>
      </c>
      <c r="E22" s="18" t="s">
        <v>53</v>
      </c>
      <c r="F22" s="42">
        <v>4552967</v>
      </c>
      <c r="G22" s="42">
        <v>5008263.7</v>
      </c>
      <c r="H22" s="42">
        <v>2000</v>
      </c>
      <c r="I22" s="42"/>
      <c r="J22" s="42"/>
      <c r="K22" s="42">
        <v>1320360.43</v>
      </c>
      <c r="L22" s="42"/>
      <c r="M22" s="42">
        <v>4552967</v>
      </c>
      <c r="N22" s="42">
        <v>5008263.7</v>
      </c>
      <c r="O22" s="42">
        <v>2000</v>
      </c>
      <c r="P22" s="42"/>
      <c r="Q22" s="42"/>
      <c r="R22" s="42">
        <v>1320360.43</v>
      </c>
      <c r="S22" s="42"/>
      <c r="T22" s="18" t="s">
        <v>23</v>
      </c>
      <c r="U22" s="18" t="s">
        <v>23</v>
      </c>
      <c r="V22" s="18"/>
      <c r="W22" s="49"/>
    </row>
    <row r="23" spans="2:27">
      <c r="B23" s="65" t="s">
        <v>196</v>
      </c>
      <c r="C23" s="18" t="s">
        <v>205</v>
      </c>
      <c r="D23" s="18" t="s">
        <v>20</v>
      </c>
      <c r="E23" s="18" t="s">
        <v>73</v>
      </c>
      <c r="F23" s="42">
        <v>2853066</v>
      </c>
      <c r="G23" s="42">
        <v>2710412.6999999997</v>
      </c>
      <c r="H23" s="42">
        <v>2900</v>
      </c>
      <c r="I23" s="42"/>
      <c r="J23" s="42"/>
      <c r="K23" s="42">
        <v>970042.44000000006</v>
      </c>
      <c r="L23" s="42"/>
      <c r="M23" s="42">
        <v>2425106.1</v>
      </c>
      <c r="N23" s="42">
        <v>2303850.7949999999</v>
      </c>
      <c r="O23" s="42">
        <v>2465</v>
      </c>
      <c r="P23" s="42"/>
      <c r="Q23" s="42"/>
      <c r="R23" s="42">
        <v>824536.07400000002</v>
      </c>
      <c r="S23" s="42"/>
      <c r="T23" s="18" t="s">
        <v>23</v>
      </c>
      <c r="U23" s="18" t="s">
        <v>23</v>
      </c>
      <c r="V23" s="18" t="s">
        <v>35</v>
      </c>
      <c r="W23" s="49"/>
    </row>
    <row r="24" spans="2:27">
      <c r="B24" s="65" t="s">
        <v>194</v>
      </c>
      <c r="C24" s="18" t="s">
        <v>200</v>
      </c>
      <c r="D24" s="18" t="s">
        <v>72</v>
      </c>
      <c r="E24" s="84" t="s">
        <v>435</v>
      </c>
      <c r="F24" s="42">
        <v>1392662</v>
      </c>
      <c r="G24" s="42">
        <v>1309102.28</v>
      </c>
      <c r="H24" s="42">
        <v>2900</v>
      </c>
      <c r="I24" s="42"/>
      <c r="J24" s="42"/>
      <c r="K24" s="42">
        <v>431725.22</v>
      </c>
      <c r="L24" s="42"/>
      <c r="M24" s="42">
        <v>1392662</v>
      </c>
      <c r="N24" s="42">
        <v>1309102.28</v>
      </c>
      <c r="O24" s="42">
        <v>2900</v>
      </c>
      <c r="P24" s="42"/>
      <c r="Q24" s="42"/>
      <c r="R24" s="42">
        <v>431725.22</v>
      </c>
      <c r="S24" s="42"/>
      <c r="T24" s="18" t="s">
        <v>23</v>
      </c>
      <c r="U24" s="18" t="s">
        <v>23</v>
      </c>
      <c r="V24" s="18"/>
      <c r="W24" s="49"/>
    </row>
    <row r="25" spans="2:27">
      <c r="B25" s="65" t="s">
        <v>195</v>
      </c>
      <c r="C25" s="18" t="s">
        <v>202</v>
      </c>
      <c r="D25" s="18" t="s">
        <v>20</v>
      </c>
      <c r="E25" s="18" t="s">
        <v>55</v>
      </c>
      <c r="F25" s="42">
        <v>4508123</v>
      </c>
      <c r="G25" s="42">
        <v>5094178.9899999993</v>
      </c>
      <c r="H25" s="42">
        <v>3500</v>
      </c>
      <c r="I25" s="42"/>
      <c r="J25" s="42"/>
      <c r="K25" s="42">
        <v>1758167.97</v>
      </c>
      <c r="L25" s="42"/>
      <c r="M25" s="42">
        <v>2254061.5</v>
      </c>
      <c r="N25" s="42">
        <v>2547089.4949999996</v>
      </c>
      <c r="O25" s="42">
        <v>1750</v>
      </c>
      <c r="P25" s="42"/>
      <c r="Q25" s="42"/>
      <c r="R25" s="42">
        <v>879083.98499999999</v>
      </c>
      <c r="S25" s="42"/>
      <c r="T25" s="18" t="s">
        <v>23</v>
      </c>
      <c r="U25" s="18" t="s">
        <v>23</v>
      </c>
      <c r="V25" s="18" t="s">
        <v>24</v>
      </c>
      <c r="W25" s="49"/>
    </row>
    <row r="26" spans="2:27">
      <c r="B26" s="65" t="s">
        <v>196</v>
      </c>
      <c r="C26" s="18" t="s">
        <v>200</v>
      </c>
      <c r="D26" s="18" t="s">
        <v>20</v>
      </c>
      <c r="E26" s="18" t="s">
        <v>56</v>
      </c>
      <c r="F26" s="42">
        <v>-25189</v>
      </c>
      <c r="G26" s="42">
        <v>-12058941</v>
      </c>
      <c r="H26" s="42">
        <v>2100</v>
      </c>
      <c r="I26" s="42">
        <v>59321</v>
      </c>
      <c r="J26" s="42">
        <v>45236</v>
      </c>
      <c r="K26" s="42">
        <v>855570.69000000006</v>
      </c>
      <c r="L26" s="42"/>
      <c r="M26" s="42">
        <v>2193771</v>
      </c>
      <c r="N26" s="42">
        <v>2084082.45</v>
      </c>
      <c r="O26" s="42">
        <v>2100</v>
      </c>
      <c r="P26" s="42"/>
      <c r="Q26" s="42"/>
      <c r="R26" s="42">
        <v>855570.69000000006</v>
      </c>
      <c r="S26" s="42"/>
      <c r="T26" s="18" t="s">
        <v>23</v>
      </c>
      <c r="U26" s="18" t="s">
        <v>23</v>
      </c>
      <c r="V26" s="18"/>
      <c r="W26" s="49"/>
    </row>
    <row r="27" spans="2:27">
      <c r="B27" s="65" t="s">
        <v>194</v>
      </c>
      <c r="C27" s="18" t="s">
        <v>201</v>
      </c>
      <c r="D27" s="18" t="s">
        <v>20</v>
      </c>
      <c r="E27" s="18" t="s">
        <v>57</v>
      </c>
      <c r="F27" s="42">
        <v>3224030</v>
      </c>
      <c r="G27" s="42">
        <v>3546433.0000000005</v>
      </c>
      <c r="H27" s="42">
        <v>2900</v>
      </c>
      <c r="I27" s="42"/>
      <c r="J27" s="42"/>
      <c r="K27" s="42">
        <v>1096170.2000000002</v>
      </c>
      <c r="L27" s="42"/>
      <c r="M27" s="42">
        <v>3224030</v>
      </c>
      <c r="N27" s="42">
        <v>3546433.0000000005</v>
      </c>
      <c r="O27" s="42">
        <v>2900</v>
      </c>
      <c r="P27" s="42"/>
      <c r="Q27" s="42"/>
      <c r="R27" s="42">
        <v>1096170.2000000002</v>
      </c>
      <c r="S27" s="42"/>
      <c r="T27" s="18" t="s">
        <v>23</v>
      </c>
      <c r="U27" s="18" t="s">
        <v>23</v>
      </c>
      <c r="V27" s="18"/>
      <c r="W27" s="49"/>
    </row>
    <row r="28" spans="2:27">
      <c r="B28" s="65" t="s">
        <v>194</v>
      </c>
      <c r="C28" s="18" t="s">
        <v>202</v>
      </c>
      <c r="D28" s="18" t="s">
        <v>20</v>
      </c>
      <c r="E28" s="18" t="s">
        <v>58</v>
      </c>
      <c r="F28" s="42">
        <v>1179993</v>
      </c>
      <c r="G28" s="42">
        <v>1262592.51</v>
      </c>
      <c r="H28" s="42">
        <v>2900</v>
      </c>
      <c r="I28" s="42"/>
      <c r="J28" s="42"/>
      <c r="K28" s="42">
        <v>401197.62000000005</v>
      </c>
      <c r="L28" s="42"/>
      <c r="M28" s="42">
        <v>1179993</v>
      </c>
      <c r="N28" s="42">
        <v>1262592.51</v>
      </c>
      <c r="O28" s="42">
        <v>2900</v>
      </c>
      <c r="P28" s="42"/>
      <c r="Q28" s="42"/>
      <c r="R28" s="42">
        <v>401197.62000000005</v>
      </c>
      <c r="S28" s="42"/>
      <c r="T28" s="18" t="s">
        <v>23</v>
      </c>
      <c r="U28" s="18" t="s">
        <v>23</v>
      </c>
      <c r="V28" s="18"/>
      <c r="W28" s="49"/>
    </row>
    <row r="29" spans="2:27">
      <c r="B29" s="65" t="s">
        <v>195</v>
      </c>
      <c r="C29" s="18" t="s">
        <v>203</v>
      </c>
      <c r="D29" s="18" t="s">
        <v>72</v>
      </c>
      <c r="E29" s="18" t="s">
        <v>59</v>
      </c>
      <c r="F29" s="42">
        <v>3338845</v>
      </c>
      <c r="G29" s="42">
        <v>3105125.85</v>
      </c>
      <c r="H29" s="42">
        <v>3500</v>
      </c>
      <c r="I29" s="42"/>
      <c r="J29" s="42"/>
      <c r="K29" s="42">
        <v>901488.15</v>
      </c>
      <c r="L29" s="42"/>
      <c r="M29" s="42">
        <v>1669422.5</v>
      </c>
      <c r="N29" s="42">
        <v>1552562.925</v>
      </c>
      <c r="O29" s="42">
        <v>1750</v>
      </c>
      <c r="P29" s="42"/>
      <c r="Q29" s="42"/>
      <c r="R29" s="42">
        <v>450744.07500000001</v>
      </c>
      <c r="S29" s="42"/>
      <c r="T29" s="18" t="s">
        <v>23</v>
      </c>
      <c r="U29" s="18" t="s">
        <v>23</v>
      </c>
      <c r="V29" s="18" t="s">
        <v>24</v>
      </c>
      <c r="W29" s="49"/>
    </row>
    <row r="30" spans="2:27">
      <c r="B30" s="65" t="s">
        <v>196</v>
      </c>
      <c r="C30" s="18" t="s">
        <v>204</v>
      </c>
      <c r="D30" s="18" t="s">
        <v>20</v>
      </c>
      <c r="E30" s="18" t="s">
        <v>60</v>
      </c>
      <c r="F30" s="42">
        <v>1129942</v>
      </c>
      <c r="G30" s="42">
        <v>1152540.8400000001</v>
      </c>
      <c r="H30" s="42">
        <v>2900</v>
      </c>
      <c r="I30" s="42"/>
      <c r="J30" s="42"/>
      <c r="K30" s="42">
        <v>406779.12</v>
      </c>
      <c r="L30" s="42"/>
      <c r="M30" s="42">
        <v>1129942</v>
      </c>
      <c r="N30" s="42">
        <v>1152540.8400000001</v>
      </c>
      <c r="O30" s="42">
        <v>2900</v>
      </c>
      <c r="P30" s="42"/>
      <c r="Q30" s="42"/>
      <c r="R30" s="42">
        <v>406779.12</v>
      </c>
      <c r="S30" s="42"/>
      <c r="T30" s="18" t="s">
        <v>23</v>
      </c>
      <c r="U30" s="18" t="s">
        <v>23</v>
      </c>
      <c r="V30" s="18"/>
      <c r="W30" s="49"/>
    </row>
    <row r="31" spans="2:27">
      <c r="B31" s="65" t="s">
        <v>194</v>
      </c>
      <c r="C31" s="18" t="s">
        <v>205</v>
      </c>
      <c r="D31" s="18" t="s">
        <v>79</v>
      </c>
      <c r="E31" s="18" t="s">
        <v>74</v>
      </c>
      <c r="F31" s="42">
        <v>1759529</v>
      </c>
      <c r="G31" s="42">
        <v>1548385.52</v>
      </c>
      <c r="H31" s="42">
        <v>2900</v>
      </c>
      <c r="I31" s="42"/>
      <c r="J31" s="42"/>
      <c r="K31" s="42">
        <v>721406.89</v>
      </c>
      <c r="L31" s="42"/>
      <c r="M31" s="42">
        <v>1495599.65</v>
      </c>
      <c r="N31" s="42">
        <v>1316127.692</v>
      </c>
      <c r="O31" s="42">
        <v>2465</v>
      </c>
      <c r="P31" s="42"/>
      <c r="Q31" s="42"/>
      <c r="R31" s="42">
        <v>613195.85649999999</v>
      </c>
      <c r="S31" s="42"/>
      <c r="T31" s="18" t="s">
        <v>23</v>
      </c>
      <c r="U31" s="18" t="s">
        <v>22</v>
      </c>
      <c r="V31" s="18" t="s">
        <v>35</v>
      </c>
      <c r="W31" s="49" t="s">
        <v>25</v>
      </c>
    </row>
    <row r="32" spans="2:27">
      <c r="B32" s="65" t="s">
        <v>194</v>
      </c>
      <c r="C32" s="18" t="s">
        <v>203</v>
      </c>
      <c r="D32" s="18" t="s">
        <v>79</v>
      </c>
      <c r="E32" s="18" t="s">
        <v>75</v>
      </c>
      <c r="F32" s="42">
        <v>1890951</v>
      </c>
      <c r="G32" s="42">
        <v>1947679.53</v>
      </c>
      <c r="H32" s="42">
        <v>3500</v>
      </c>
      <c r="I32" s="42"/>
      <c r="J32" s="42"/>
      <c r="K32" s="42">
        <v>794199.41999999993</v>
      </c>
      <c r="L32" s="42"/>
      <c r="M32" s="42">
        <v>1890951</v>
      </c>
      <c r="N32" s="42">
        <v>1947679.53</v>
      </c>
      <c r="O32" s="42">
        <v>3500</v>
      </c>
      <c r="P32" s="42"/>
      <c r="Q32" s="42"/>
      <c r="R32" s="42">
        <v>794199.41999999993</v>
      </c>
      <c r="S32" s="42"/>
      <c r="T32" s="18" t="s">
        <v>23</v>
      </c>
      <c r="U32" s="18" t="s">
        <v>22</v>
      </c>
      <c r="V32" s="18"/>
      <c r="W32" s="49"/>
    </row>
    <row r="33" spans="2:23">
      <c r="B33" s="65" t="s">
        <v>195</v>
      </c>
      <c r="C33" s="18" t="s">
        <v>202</v>
      </c>
      <c r="D33" s="18" t="s">
        <v>20</v>
      </c>
      <c r="E33" s="18" t="s">
        <v>76</v>
      </c>
      <c r="F33" s="42">
        <v>2676194</v>
      </c>
      <c r="G33" s="42">
        <v>2917051.4600000004</v>
      </c>
      <c r="H33" s="42">
        <v>2100</v>
      </c>
      <c r="I33" s="42"/>
      <c r="J33" s="42"/>
      <c r="K33" s="42">
        <v>1043715.66</v>
      </c>
      <c r="L33" s="42"/>
      <c r="M33" s="42">
        <v>1338097</v>
      </c>
      <c r="N33" s="42">
        <v>1458525.7300000002</v>
      </c>
      <c r="O33" s="42">
        <v>1050</v>
      </c>
      <c r="P33" s="42"/>
      <c r="Q33" s="42"/>
      <c r="R33" s="42">
        <v>521857.83</v>
      </c>
      <c r="S33" s="42"/>
      <c r="T33" s="18" t="s">
        <v>23</v>
      </c>
      <c r="U33" s="18" t="s">
        <v>23</v>
      </c>
      <c r="V33" s="18" t="s">
        <v>24</v>
      </c>
      <c r="W33" s="49"/>
    </row>
    <row r="34" spans="2:23">
      <c r="B34" s="65" t="s">
        <v>196</v>
      </c>
      <c r="C34" s="18" t="s">
        <v>203</v>
      </c>
      <c r="D34" s="18" t="s">
        <v>20</v>
      </c>
      <c r="E34" s="18" t="s">
        <v>77</v>
      </c>
      <c r="F34" s="42">
        <v>2965011</v>
      </c>
      <c r="G34" s="42">
        <v>2638859.79</v>
      </c>
      <c r="H34" s="42">
        <v>2000</v>
      </c>
      <c r="I34" s="42"/>
      <c r="J34" s="42"/>
      <c r="K34" s="42">
        <v>1037753.85</v>
      </c>
      <c r="L34" s="42"/>
      <c r="M34" s="42">
        <v>2965011</v>
      </c>
      <c r="N34" s="42">
        <v>2638859.79</v>
      </c>
      <c r="O34" s="42">
        <v>2000</v>
      </c>
      <c r="P34" s="42"/>
      <c r="Q34" s="42"/>
      <c r="R34" s="42">
        <v>1037753.85</v>
      </c>
      <c r="S34" s="42"/>
      <c r="T34" s="18" t="s">
        <v>23</v>
      </c>
      <c r="U34" s="18" t="s">
        <v>23</v>
      </c>
      <c r="V34" s="18"/>
      <c r="W34" s="49"/>
    </row>
    <row r="35" spans="2:23">
      <c r="B35" s="65" t="s">
        <v>194</v>
      </c>
      <c r="C35" s="18" t="s">
        <v>204</v>
      </c>
      <c r="D35" s="18" t="s">
        <v>20</v>
      </c>
      <c r="E35" s="18" t="s">
        <v>78</v>
      </c>
      <c r="F35" s="42">
        <v>3483517</v>
      </c>
      <c r="G35" s="42">
        <v>3448681.83</v>
      </c>
      <c r="H35" s="42">
        <v>2100</v>
      </c>
      <c r="I35" s="42"/>
      <c r="J35" s="42"/>
      <c r="K35" s="42">
        <v>1184395.78</v>
      </c>
      <c r="L35" s="42"/>
      <c r="M35" s="42">
        <v>2960989.4499999997</v>
      </c>
      <c r="N35" s="42">
        <v>2931379.5554999998</v>
      </c>
      <c r="O35" s="42">
        <v>1785</v>
      </c>
      <c r="P35" s="42"/>
      <c r="Q35" s="42"/>
      <c r="R35" s="42">
        <v>1006736.4129999999</v>
      </c>
      <c r="S35" s="42"/>
      <c r="T35" s="18" t="s">
        <v>23</v>
      </c>
      <c r="U35" s="18" t="s">
        <v>23</v>
      </c>
      <c r="V35" s="18" t="s">
        <v>35</v>
      </c>
      <c r="W35" s="49"/>
    </row>
    <row r="36" spans="2:23">
      <c r="B36" s="65" t="s">
        <v>196</v>
      </c>
      <c r="C36" s="18" t="s">
        <v>205</v>
      </c>
      <c r="D36" s="18" t="s">
        <v>20</v>
      </c>
      <c r="E36" s="18" t="s">
        <v>61</v>
      </c>
      <c r="F36" s="42">
        <v>1419003</v>
      </c>
      <c r="G36" s="42">
        <v>1461573.09</v>
      </c>
      <c r="H36" s="42">
        <v>2900</v>
      </c>
      <c r="I36" s="42"/>
      <c r="J36" s="42"/>
      <c r="K36" s="42">
        <v>624361.31999999995</v>
      </c>
      <c r="L36" s="42"/>
      <c r="M36" s="42">
        <v>1419003</v>
      </c>
      <c r="N36" s="42">
        <v>1461573.09</v>
      </c>
      <c r="O36" s="42">
        <v>2900</v>
      </c>
      <c r="P36" s="42"/>
      <c r="Q36" s="42"/>
      <c r="R36" s="42">
        <v>624361.31999999995</v>
      </c>
      <c r="S36" s="42"/>
      <c r="T36" s="18" t="s">
        <v>23</v>
      </c>
      <c r="U36" s="18" t="s">
        <v>23</v>
      </c>
      <c r="V36" s="18"/>
      <c r="W36" s="49"/>
    </row>
    <row r="37" spans="2:23">
      <c r="B37" s="65" t="s">
        <v>194</v>
      </c>
      <c r="C37" s="18" t="s">
        <v>202</v>
      </c>
      <c r="D37" s="18" t="s">
        <v>393</v>
      </c>
      <c r="E37" s="18" t="s">
        <v>62</v>
      </c>
      <c r="F37" s="42">
        <v>3781747</v>
      </c>
      <c r="G37" s="42">
        <v>4159921.7</v>
      </c>
      <c r="H37" s="42">
        <v>2900</v>
      </c>
      <c r="I37" s="42"/>
      <c r="J37" s="42"/>
      <c r="K37" s="42">
        <v>1172341.57</v>
      </c>
      <c r="L37" s="42"/>
      <c r="M37" s="42">
        <v>3781747</v>
      </c>
      <c r="N37" s="42">
        <v>4159921.7</v>
      </c>
      <c r="O37" s="42">
        <v>2900</v>
      </c>
      <c r="P37" s="42"/>
      <c r="Q37" s="42"/>
      <c r="R37" s="42">
        <v>1172341.57</v>
      </c>
      <c r="S37" s="42"/>
      <c r="T37" s="18" t="s">
        <v>23</v>
      </c>
      <c r="U37" s="18" t="s">
        <v>23</v>
      </c>
      <c r="V37" s="18"/>
      <c r="W37" s="49"/>
    </row>
    <row r="38" spans="2:23">
      <c r="B38" s="47" t="s">
        <v>196</v>
      </c>
      <c r="C38" s="18" t="s">
        <v>200</v>
      </c>
      <c r="D38" s="18" t="s">
        <v>79</v>
      </c>
      <c r="E38" s="18" t="s">
        <v>63</v>
      </c>
      <c r="F38" s="42">
        <v>3328489</v>
      </c>
      <c r="G38" s="42">
        <v>3395058.7800000003</v>
      </c>
      <c r="H38" s="42">
        <v>3500</v>
      </c>
      <c r="I38" s="42"/>
      <c r="J38" s="42"/>
      <c r="K38" s="42">
        <v>1231540.93</v>
      </c>
      <c r="L38" s="42"/>
      <c r="M38" s="42">
        <v>2829215.65</v>
      </c>
      <c r="N38" s="42">
        <v>2885799.963</v>
      </c>
      <c r="O38" s="42">
        <v>2975</v>
      </c>
      <c r="P38" s="42"/>
      <c r="Q38" s="42"/>
      <c r="R38" s="42">
        <v>1046809.7904999999</v>
      </c>
      <c r="S38" s="42"/>
      <c r="T38" s="18" t="s">
        <v>23</v>
      </c>
      <c r="U38" s="18" t="s">
        <v>22</v>
      </c>
      <c r="V38" s="18" t="s">
        <v>35</v>
      </c>
      <c r="W38" s="49" t="s">
        <v>26</v>
      </c>
    </row>
    <row r="39" spans="2:23">
      <c r="B39" s="47" t="s">
        <v>194</v>
      </c>
      <c r="C39" s="18" t="s">
        <v>201</v>
      </c>
      <c r="D39" s="18" t="s">
        <v>80</v>
      </c>
      <c r="E39" s="18" t="s">
        <v>64</v>
      </c>
      <c r="F39" s="42">
        <v>2324524</v>
      </c>
      <c r="G39" s="42">
        <v>2115316.84</v>
      </c>
      <c r="H39" s="42">
        <v>2900</v>
      </c>
      <c r="I39" s="42"/>
      <c r="J39" s="42"/>
      <c r="K39" s="42">
        <v>650866.72000000009</v>
      </c>
      <c r="L39" s="42"/>
      <c r="M39" s="42">
        <v>2324524</v>
      </c>
      <c r="N39" s="42">
        <v>2115316.84</v>
      </c>
      <c r="O39" s="42">
        <v>2900</v>
      </c>
      <c r="P39" s="42"/>
      <c r="Q39" s="42"/>
      <c r="R39" s="42">
        <v>650866.72000000009</v>
      </c>
      <c r="S39" s="42"/>
      <c r="T39" s="18" t="s">
        <v>23</v>
      </c>
      <c r="U39" s="18" t="s">
        <v>23</v>
      </c>
      <c r="V39" s="18"/>
      <c r="W39" s="49"/>
    </row>
    <row r="40" spans="2:23">
      <c r="B40" s="47" t="s">
        <v>194</v>
      </c>
      <c r="C40" s="18" t="s">
        <v>198</v>
      </c>
      <c r="D40" s="18" t="s">
        <v>72</v>
      </c>
      <c r="E40" s="18" t="s">
        <v>65</v>
      </c>
      <c r="F40" s="42">
        <v>3529986</v>
      </c>
      <c r="G40" s="42">
        <v>3459386.28</v>
      </c>
      <c r="H40" s="42">
        <v>2900</v>
      </c>
      <c r="I40" s="42"/>
      <c r="J40" s="42"/>
      <c r="K40" s="42">
        <v>1306094.82</v>
      </c>
      <c r="L40" s="42"/>
      <c r="M40" s="42">
        <v>1764993</v>
      </c>
      <c r="N40" s="42">
        <v>1729693.14</v>
      </c>
      <c r="O40" s="42">
        <v>1450</v>
      </c>
      <c r="P40" s="42"/>
      <c r="Q40" s="42"/>
      <c r="R40" s="42">
        <v>653047.41</v>
      </c>
      <c r="S40" s="42"/>
      <c r="T40" s="18" t="s">
        <v>23</v>
      </c>
      <c r="U40" s="18" t="s">
        <v>23</v>
      </c>
      <c r="V40" s="18" t="s">
        <v>24</v>
      </c>
      <c r="W40" s="49"/>
    </row>
    <row r="41" spans="2:23">
      <c r="B41" s="47"/>
      <c r="C41" s="18"/>
      <c r="D41" s="18"/>
      <c r="E41" s="18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18"/>
      <c r="U41" s="18"/>
      <c r="V41" s="18"/>
      <c r="W41" s="49"/>
    </row>
    <row r="42" spans="2:23">
      <c r="B42" s="47"/>
      <c r="C42" s="18"/>
      <c r="D42" s="18"/>
      <c r="E42" s="18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18"/>
      <c r="U42" s="18"/>
      <c r="V42" s="18"/>
      <c r="W42" s="49"/>
    </row>
    <row r="43" spans="2:23">
      <c r="B43" s="47"/>
      <c r="C43" s="18"/>
      <c r="D43" s="18"/>
      <c r="E43" s="18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18"/>
      <c r="U43" s="18"/>
      <c r="V43" s="18"/>
      <c r="W43" s="49"/>
    </row>
    <row r="44" spans="2:23">
      <c r="B44" s="47"/>
      <c r="C44" s="18"/>
      <c r="D44" s="18"/>
      <c r="E44" s="18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18"/>
      <c r="U44" s="18"/>
      <c r="V44" s="18"/>
      <c r="W44" s="49"/>
    </row>
    <row r="45" spans="2:23">
      <c r="B45" s="54"/>
      <c r="C45" s="55"/>
      <c r="D45" s="55"/>
      <c r="E45" s="55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5"/>
      <c r="U45" s="55"/>
      <c r="V45" s="55"/>
      <c r="W45" s="57"/>
    </row>
    <row r="48" spans="2:23">
      <c r="F48" s="22">
        <f>F31*metadata!$I$20</f>
        <v>3079175.75</v>
      </c>
      <c r="G48" s="22">
        <f>G31*metadata!$I$20</f>
        <v>2709674.66</v>
      </c>
    </row>
    <row r="49" spans="6:7">
      <c r="F49" s="22">
        <f>F38*metadata!$I$21</f>
        <v>3761192.57</v>
      </c>
      <c r="G49" s="22">
        <f>G38*metadata!$I$21</f>
        <v>3836416.4213999999</v>
      </c>
    </row>
  </sheetData>
  <pageMargins left="0.7" right="0.7" top="0.75" bottom="0.75" header="0.3" footer="0.3"/>
  <headerFooter>
    <oddFooter>&amp;C_x000D_&amp;1#&amp;"Calibri"&amp;10&amp;K000000 Control Disclosure</oddFooter>
  </headerFooter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7B805-963E-4DDE-AF0C-50D04AAE6606}">
  <sheetPr codeName="Sheet2"/>
  <dimension ref="A1:S27"/>
  <sheetViews>
    <sheetView topLeftCell="B1" workbookViewId="0">
      <selection activeCell="O7" sqref="O7:S15"/>
    </sheetView>
  </sheetViews>
  <sheetFormatPr defaultRowHeight="14.5"/>
  <cols>
    <col min="1" max="1" width="1.36328125" customWidth="1"/>
    <col min="2" max="2" width="20" customWidth="1"/>
    <col min="3" max="7" width="18.90625" customWidth="1"/>
    <col min="8" max="8" width="20.90625" customWidth="1"/>
    <col min="9" max="9" width="20.453125" customWidth="1"/>
    <col min="11" max="13" width="23.6328125" customWidth="1"/>
    <col min="15" max="35" width="19.6328125" customWidth="1"/>
  </cols>
  <sheetData>
    <row r="1" spans="1:19">
      <c r="A1" t="str" cm="1">
        <f t="array" aca="1" ref="A1" ca="1">CELL("filename",A1)</f>
        <v>C:\Sync\git_hub\vba_samplicity\[02_magnus_reinsurance.xlsm]reinsurance_setup</v>
      </c>
    </row>
    <row r="2" spans="1:19">
      <c r="A2" s="14" t="s">
        <v>206</v>
      </c>
    </row>
    <row r="3" spans="1:19">
      <c r="A3" s="14" t="s">
        <v>432</v>
      </c>
    </row>
    <row r="5" spans="1:19">
      <c r="B5" s="14" t="s">
        <v>404</v>
      </c>
      <c r="K5" s="14" t="s">
        <v>405</v>
      </c>
      <c r="O5" s="14" t="s">
        <v>406</v>
      </c>
    </row>
    <row r="7" spans="1:19">
      <c r="B7" s="50" t="s">
        <v>407</v>
      </c>
      <c r="C7" s="51" t="s">
        <v>408</v>
      </c>
      <c r="D7" s="51" t="s">
        <v>409</v>
      </c>
      <c r="E7" s="51" t="s">
        <v>410</v>
      </c>
      <c r="F7" s="51" t="s">
        <v>411</v>
      </c>
      <c r="G7" s="51" t="s">
        <v>26</v>
      </c>
      <c r="H7" s="51" t="s">
        <v>412</v>
      </c>
      <c r="I7" s="60" t="s">
        <v>413</v>
      </c>
      <c r="K7" s="50" t="s">
        <v>407</v>
      </c>
      <c r="L7" s="51" t="s">
        <v>36</v>
      </c>
      <c r="M7" s="60" t="s">
        <v>414</v>
      </c>
      <c r="O7" s="50" t="s">
        <v>407</v>
      </c>
      <c r="P7" s="51" t="s">
        <v>25</v>
      </c>
      <c r="Q7" s="51" t="s">
        <v>496</v>
      </c>
      <c r="R7" s="51" t="s">
        <v>495</v>
      </c>
      <c r="S7" s="51" t="s">
        <v>497</v>
      </c>
    </row>
    <row r="8" spans="1:19">
      <c r="B8" s="46" t="s">
        <v>26</v>
      </c>
      <c r="C8" s="17" t="s">
        <v>415</v>
      </c>
      <c r="D8" s="79"/>
      <c r="E8" s="79"/>
      <c r="F8" s="79">
        <v>500000000</v>
      </c>
      <c r="G8" s="80">
        <v>0.5</v>
      </c>
      <c r="H8" s="17"/>
      <c r="I8" s="48"/>
      <c r="K8" s="46" t="s">
        <v>416</v>
      </c>
      <c r="L8" s="17" t="s">
        <v>417</v>
      </c>
      <c r="M8" s="119">
        <v>1</v>
      </c>
      <c r="O8" s="46" t="s">
        <v>26</v>
      </c>
      <c r="P8" s="17"/>
      <c r="Q8" s="17">
        <v>1</v>
      </c>
      <c r="R8" s="17"/>
      <c r="S8" s="80"/>
    </row>
    <row r="9" spans="1:19">
      <c r="B9" s="47" t="s">
        <v>418</v>
      </c>
      <c r="C9" s="18" t="s">
        <v>419</v>
      </c>
      <c r="D9" s="81">
        <v>1000000</v>
      </c>
      <c r="E9" s="81">
        <v>2000000</v>
      </c>
      <c r="F9" s="81">
        <v>30000000</v>
      </c>
      <c r="G9" s="82">
        <v>1</v>
      </c>
      <c r="H9" s="18">
        <v>5</v>
      </c>
      <c r="I9" s="118">
        <v>0.3</v>
      </c>
      <c r="K9" s="47" t="s">
        <v>26</v>
      </c>
      <c r="L9" s="18" t="s">
        <v>417</v>
      </c>
      <c r="M9" s="59">
        <v>0.95</v>
      </c>
      <c r="O9" s="47" t="s">
        <v>418</v>
      </c>
      <c r="P9" s="18">
        <v>2</v>
      </c>
      <c r="Q9" s="18">
        <v>2</v>
      </c>
      <c r="R9" s="18">
        <v>2</v>
      </c>
      <c r="S9" s="18">
        <v>1</v>
      </c>
    </row>
    <row r="10" spans="1:19">
      <c r="B10" s="47" t="s">
        <v>420</v>
      </c>
      <c r="C10" s="18" t="s">
        <v>419</v>
      </c>
      <c r="D10" s="81">
        <v>3000000</v>
      </c>
      <c r="E10" s="81">
        <v>2000000</v>
      </c>
      <c r="F10" s="18"/>
      <c r="G10" s="82">
        <v>1</v>
      </c>
      <c r="H10" s="18">
        <v>3</v>
      </c>
      <c r="I10" s="118">
        <v>0.2</v>
      </c>
      <c r="K10" s="47" t="s">
        <v>418</v>
      </c>
      <c r="L10" s="18" t="s">
        <v>421</v>
      </c>
      <c r="M10" s="59">
        <v>0.3</v>
      </c>
      <c r="O10" s="47" t="s">
        <v>420</v>
      </c>
      <c r="P10" s="18">
        <v>2</v>
      </c>
      <c r="Q10" s="18">
        <v>2</v>
      </c>
      <c r="R10" s="18">
        <v>2</v>
      </c>
      <c r="S10" s="18">
        <v>1</v>
      </c>
    </row>
    <row r="11" spans="1:19">
      <c r="B11" s="47" t="s">
        <v>422</v>
      </c>
      <c r="C11" s="18" t="s">
        <v>419</v>
      </c>
      <c r="D11" s="81">
        <v>5000000</v>
      </c>
      <c r="E11" s="81">
        <v>5000000</v>
      </c>
      <c r="F11" s="18"/>
      <c r="G11" s="82">
        <v>1</v>
      </c>
      <c r="H11" s="18">
        <v>3</v>
      </c>
      <c r="I11" s="118">
        <v>0.1</v>
      </c>
      <c r="K11" s="47" t="s">
        <v>418</v>
      </c>
      <c r="L11" s="18" t="s">
        <v>423</v>
      </c>
      <c r="M11" s="59">
        <v>0.3</v>
      </c>
      <c r="O11" s="47" t="s">
        <v>422</v>
      </c>
      <c r="P11" s="18">
        <v>2</v>
      </c>
      <c r="Q11" s="18">
        <v>2</v>
      </c>
      <c r="R11" s="18">
        <v>2</v>
      </c>
      <c r="S11" s="18">
        <v>1</v>
      </c>
    </row>
    <row r="12" spans="1:19">
      <c r="B12" s="47" t="s">
        <v>424</v>
      </c>
      <c r="C12" s="18" t="s">
        <v>419</v>
      </c>
      <c r="D12" s="81">
        <v>10000000</v>
      </c>
      <c r="E12" s="81">
        <v>10000000</v>
      </c>
      <c r="F12" s="18"/>
      <c r="G12" s="82">
        <v>1</v>
      </c>
      <c r="H12" s="18">
        <v>1</v>
      </c>
      <c r="I12" s="118">
        <v>0.05</v>
      </c>
      <c r="K12" s="47" t="s">
        <v>418</v>
      </c>
      <c r="L12" s="18" t="s">
        <v>425</v>
      </c>
      <c r="M12" s="59">
        <v>0.2</v>
      </c>
      <c r="O12" s="47" t="s">
        <v>424</v>
      </c>
      <c r="P12" s="18">
        <v>2</v>
      </c>
      <c r="Q12" s="18">
        <v>2</v>
      </c>
      <c r="R12" s="18">
        <v>2</v>
      </c>
      <c r="S12" s="18">
        <v>1</v>
      </c>
    </row>
    <row r="13" spans="1:19">
      <c r="B13" s="47" t="s">
        <v>426</v>
      </c>
      <c r="C13" s="18" t="s">
        <v>419</v>
      </c>
      <c r="D13" s="81">
        <v>20000000</v>
      </c>
      <c r="E13" s="81">
        <v>10000000</v>
      </c>
      <c r="F13" s="18"/>
      <c r="G13" s="82">
        <v>1</v>
      </c>
      <c r="H13" s="18">
        <v>1</v>
      </c>
      <c r="I13" s="118">
        <v>0.01</v>
      </c>
      <c r="K13" s="47" t="s">
        <v>420</v>
      </c>
      <c r="L13" s="18" t="s">
        <v>417</v>
      </c>
      <c r="M13" s="59">
        <v>0.3</v>
      </c>
      <c r="O13" s="47" t="s">
        <v>426</v>
      </c>
      <c r="P13" s="18">
        <v>2</v>
      </c>
      <c r="Q13" s="18">
        <v>2</v>
      </c>
      <c r="R13" s="18"/>
      <c r="S13" s="18">
        <v>1</v>
      </c>
    </row>
    <row r="14" spans="1:19">
      <c r="B14" s="47" t="s">
        <v>416</v>
      </c>
      <c r="C14" s="18" t="s">
        <v>415</v>
      </c>
      <c r="D14" s="81"/>
      <c r="E14" s="81"/>
      <c r="F14" s="81">
        <v>5000000</v>
      </c>
      <c r="G14" s="82">
        <v>0.7</v>
      </c>
      <c r="H14" s="18"/>
      <c r="I14" s="49"/>
      <c r="K14" s="47" t="s">
        <v>420</v>
      </c>
      <c r="L14" s="18" t="s">
        <v>423</v>
      </c>
      <c r="M14" s="59">
        <v>0.4</v>
      </c>
      <c r="O14" s="47" t="s">
        <v>416</v>
      </c>
      <c r="P14" s="18">
        <v>3</v>
      </c>
      <c r="Q14" s="18"/>
      <c r="R14" s="18"/>
      <c r="S14" s="18"/>
    </row>
    <row r="15" spans="1:19">
      <c r="B15" s="47" t="s">
        <v>427</v>
      </c>
      <c r="C15" s="18" t="s">
        <v>419</v>
      </c>
      <c r="D15" s="81">
        <v>99000</v>
      </c>
      <c r="E15" s="81">
        <v>1000</v>
      </c>
      <c r="F15" s="18"/>
      <c r="G15" s="82">
        <v>1</v>
      </c>
      <c r="H15" s="18">
        <v>0</v>
      </c>
      <c r="I15" s="118">
        <v>0</v>
      </c>
      <c r="K15" s="47" t="s">
        <v>420</v>
      </c>
      <c r="L15" s="18" t="s">
        <v>428</v>
      </c>
      <c r="M15" s="59">
        <v>0.3</v>
      </c>
      <c r="O15" s="47" t="s">
        <v>427</v>
      </c>
      <c r="P15" s="18"/>
      <c r="Q15" s="18"/>
      <c r="R15" s="18"/>
      <c r="S15" s="18"/>
    </row>
    <row r="16" spans="1:19">
      <c r="K16" s="47" t="s">
        <v>422</v>
      </c>
      <c r="L16" s="18" t="s">
        <v>421</v>
      </c>
      <c r="M16" s="59">
        <v>0.2</v>
      </c>
    </row>
    <row r="17" spans="9:13">
      <c r="K17" s="47" t="s">
        <v>422</v>
      </c>
      <c r="L17" s="18" t="s">
        <v>20</v>
      </c>
      <c r="M17" s="59">
        <v>0.5</v>
      </c>
    </row>
    <row r="18" spans="9:13">
      <c r="K18" s="47" t="s">
        <v>422</v>
      </c>
      <c r="L18" s="18" t="s">
        <v>429</v>
      </c>
      <c r="M18" s="59">
        <v>0.3</v>
      </c>
    </row>
    <row r="19" spans="9:13">
      <c r="I19" s="11"/>
      <c r="K19" s="47" t="s">
        <v>424</v>
      </c>
      <c r="L19" s="18" t="s">
        <v>417</v>
      </c>
      <c r="M19" s="59">
        <v>0.1</v>
      </c>
    </row>
    <row r="20" spans="9:13">
      <c r="K20" s="47" t="s">
        <v>424</v>
      </c>
      <c r="L20" s="18" t="s">
        <v>423</v>
      </c>
      <c r="M20" s="59">
        <v>0.2</v>
      </c>
    </row>
    <row r="21" spans="9:13">
      <c r="K21" s="47" t="s">
        <v>424</v>
      </c>
      <c r="L21" s="18" t="s">
        <v>430</v>
      </c>
      <c r="M21" s="59">
        <v>0.7</v>
      </c>
    </row>
    <row r="22" spans="9:13">
      <c r="K22" s="47" t="s">
        <v>426</v>
      </c>
      <c r="L22" s="18" t="s">
        <v>421</v>
      </c>
      <c r="M22" s="59">
        <v>0.25</v>
      </c>
    </row>
    <row r="23" spans="9:13">
      <c r="K23" s="47" t="s">
        <v>426</v>
      </c>
      <c r="L23" s="18" t="s">
        <v>431</v>
      </c>
      <c r="M23" s="59">
        <v>0.4</v>
      </c>
    </row>
    <row r="24" spans="9:13">
      <c r="K24" s="47" t="s">
        <v>426</v>
      </c>
      <c r="L24" s="18" t="s">
        <v>417</v>
      </c>
      <c r="M24" s="59">
        <v>0.35</v>
      </c>
    </row>
    <row r="25" spans="9:13">
      <c r="K25" s="47" t="s">
        <v>427</v>
      </c>
      <c r="L25" s="18" t="s">
        <v>417</v>
      </c>
      <c r="M25" s="120">
        <f>1/3</f>
        <v>0.33333333333333331</v>
      </c>
    </row>
    <row r="26" spans="9:13">
      <c r="K26" s="47" t="s">
        <v>427</v>
      </c>
      <c r="L26" s="18" t="s">
        <v>421</v>
      </c>
      <c r="M26" s="120">
        <f>1/3</f>
        <v>0.33333333333333331</v>
      </c>
    </row>
    <row r="27" spans="9:13">
      <c r="K27" s="47" t="s">
        <v>427</v>
      </c>
      <c r="L27" s="18" t="s">
        <v>423</v>
      </c>
      <c r="M27" s="120">
        <f>1/3</f>
        <v>0.33333333333333331</v>
      </c>
    </row>
  </sheetData>
  <pageMargins left="0.7" right="0.7" top="0.75" bottom="0.75" header="0.3" footer="0.3"/>
  <headerFooter>
    <oddFooter>&amp;C_x000D_&amp;1#&amp;"Calibri"&amp;10&amp;K000000 Control Disclosure</oddFooter>
  </headerFooter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BC88-F9DB-4C82-BA67-63CFCA91896F}">
  <sheetPr codeName="Sheet26">
    <tabColor theme="7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13A4-72AB-40ED-8CE7-304EB1502CA8}">
  <sheetPr codeName="Sheet4"/>
  <dimension ref="A1:N223"/>
  <sheetViews>
    <sheetView topLeftCell="A154" workbookViewId="0">
      <selection sqref="A1:A3"/>
    </sheetView>
  </sheetViews>
  <sheetFormatPr defaultRowHeight="14.5"/>
  <cols>
    <col min="1" max="1" width="1.6328125" customWidth="1"/>
    <col min="2" max="2" width="26.1796875" customWidth="1"/>
    <col min="3" max="4" width="14.1796875" bestFit="1" customWidth="1"/>
    <col min="5" max="6" width="20.7265625" bestFit="1" customWidth="1"/>
    <col min="7" max="7" width="14.1796875" bestFit="1" customWidth="1"/>
    <col min="8" max="8" width="1.36328125" customWidth="1"/>
    <col min="9" max="9" width="13.90625" bestFit="1" customWidth="1"/>
    <col min="10" max="10" width="14.26953125" bestFit="1" customWidth="1"/>
    <col min="11" max="13" width="19.54296875" customWidth="1"/>
    <col min="14" max="14" width="10.81640625" style="10" bestFit="1" customWidth="1"/>
  </cols>
  <sheetData>
    <row r="1" spans="1:14">
      <c r="A1" t="str" cm="1">
        <f t="array" aca="1" ref="A1" ca="1">CELL("filename",A1)</f>
        <v>C:\Sync\git_hub\vba_samplicity\[02_magnus_reinsurance.xlsm]PremRes</v>
      </c>
    </row>
    <row r="2" spans="1:14">
      <c r="A2" s="14" t="s">
        <v>206</v>
      </c>
    </row>
    <row r="3" spans="1:14">
      <c r="A3" s="14" t="s">
        <v>81</v>
      </c>
    </row>
    <row r="5" spans="1:14">
      <c r="B5" s="111" t="s">
        <v>392</v>
      </c>
      <c r="C5" s="112"/>
      <c r="D5" s="112"/>
      <c r="E5" s="112"/>
      <c r="F5" s="112"/>
      <c r="G5" s="113"/>
      <c r="I5" s="111" t="s">
        <v>391</v>
      </c>
      <c r="J5" s="112"/>
      <c r="K5" s="112"/>
      <c r="L5" s="112"/>
      <c r="M5" s="112"/>
      <c r="N5" s="113"/>
    </row>
    <row r="7" spans="1:14">
      <c r="B7" s="77" t="str" cm="1">
        <f t="array" ref="B7:G208">PremRes(rPremRes,rShare,2)</f>
        <v>division level</v>
      </c>
      <c r="C7" s="77" t="str">
        <v>division value</v>
      </c>
      <c r="D7" s="77" t="str">
        <v>peril</v>
      </c>
      <c r="E7" s="77" t="str">
        <v>value group</v>
      </c>
      <c r="F7" s="77" t="str">
        <v>value type</v>
      </c>
      <c r="G7" s="77" t="str">
        <v>value</v>
      </c>
      <c r="I7" s="77" t="str" cm="1">
        <f t="array" ref="I7:N25">PremRes(rPremRes,rShare,0)</f>
        <v>division level</v>
      </c>
      <c r="J7" s="77" t="str">
        <v>division value</v>
      </c>
      <c r="K7" s="77" t="str">
        <v>peril</v>
      </c>
      <c r="L7" s="77" t="str">
        <v>value group</v>
      </c>
      <c r="M7" s="77" t="str">
        <v>value type</v>
      </c>
      <c r="N7" s="77" t="str">
        <v>value</v>
      </c>
    </row>
    <row r="8" spans="1:14">
      <c r="B8" s="70" t="str">
        <v>__overall__</v>
      </c>
      <c r="C8" s="70" t="str">
        <v>__overall__</v>
      </c>
      <c r="D8" s="66" t="str">
        <v>overall</v>
      </c>
      <c r="E8" s="66" t="str">
        <v>gross charge</v>
      </c>
      <c r="F8" s="66" t="str">
        <v>gross charge</v>
      </c>
      <c r="G8" s="66">
        <v>26819186.856737494</v>
      </c>
      <c r="I8" s="3" t="str">
        <v>__overall__</v>
      </c>
      <c r="J8" s="3" t="str">
        <v>__overall__</v>
      </c>
      <c r="K8" s="3" t="str">
        <v>overall</v>
      </c>
      <c r="L8" s="3" t="str">
        <v>gross charge</v>
      </c>
      <c r="M8" s="3" t="str">
        <v>gross charge</v>
      </c>
      <c r="N8" s="12">
        <v>26819186.856737494</v>
      </c>
    </row>
    <row r="9" spans="1:14">
      <c r="B9" s="68" t="str">
        <v>__overall__</v>
      </c>
      <c r="C9" s="68" t="str">
        <v>__overall__</v>
      </c>
      <c r="D9" s="67" t="str">
        <v>overall</v>
      </c>
      <c r="E9" s="67" t="str">
        <v>net charge</v>
      </c>
      <c r="F9" s="67" t="str">
        <v>net charge</v>
      </c>
      <c r="G9" s="67">
        <v>23162167.347506128</v>
      </c>
      <c r="I9" s="4" t="str">
        <v>__overall__</v>
      </c>
      <c r="J9" s="4" t="str">
        <v>__overall__</v>
      </c>
      <c r="K9" s="4" t="str">
        <v>overall</v>
      </c>
      <c r="L9" s="4" t="str">
        <v>net charge</v>
      </c>
      <c r="M9" s="4" t="str">
        <v>net charge</v>
      </c>
      <c r="N9" s="13">
        <v>23162167.347506128</v>
      </c>
    </row>
    <row r="10" spans="1:14">
      <c r="B10" s="68" t="str">
        <v>__overall__</v>
      </c>
      <c r="C10" s="68" t="str">
        <v>__overall__</v>
      </c>
      <c r="D10" s="67" t="str">
        <v>overall</v>
      </c>
      <c r="E10" s="67" t="str">
        <v>calculated net charge</v>
      </c>
      <c r="F10" s="67" t="str">
        <v>calculated net charge</v>
      </c>
      <c r="G10" s="67">
        <v>23121389.475048162</v>
      </c>
      <c r="I10" s="4" t="str">
        <v>__overall__</v>
      </c>
      <c r="J10" s="4" t="str">
        <v>__overall__</v>
      </c>
      <c r="K10" s="4" t="str">
        <v>overall</v>
      </c>
      <c r="L10" s="4" t="str">
        <v>calculated net charge</v>
      </c>
      <c r="M10" s="4" t="str">
        <v>calculated net charge</v>
      </c>
      <c r="N10" s="13">
        <v>23121389.475048162</v>
      </c>
    </row>
    <row r="11" spans="1:14">
      <c r="B11" s="68" t="str">
        <v>__overall__</v>
      </c>
      <c r="C11" s="68" t="str">
        <v>__overall__</v>
      </c>
      <c r="D11" s="67" t="str">
        <v>overall</v>
      </c>
      <c r="E11" s="67" t="str">
        <v>counterparty</v>
      </c>
      <c r="F11" s="67" t="str">
        <v>company_a</v>
      </c>
      <c r="G11" s="67">
        <v>1583539.8473803401</v>
      </c>
      <c r="I11" s="4" t="str">
        <v>__overall__</v>
      </c>
      <c r="J11" s="4" t="str">
        <v>__overall__</v>
      </c>
      <c r="K11" s="4" t="str">
        <v>overall</v>
      </c>
      <c r="L11" s="4" t="str">
        <v>counterparty</v>
      </c>
      <c r="M11" s="4" t="str">
        <v>company_a</v>
      </c>
      <c r="N11" s="13">
        <v>1583539.8473803401</v>
      </c>
    </row>
    <row r="12" spans="1:14">
      <c r="B12" s="68" t="str">
        <v>__overall__</v>
      </c>
      <c r="C12" s="68" t="str">
        <v>__overall__</v>
      </c>
      <c r="D12" s="67" t="str">
        <v>overall</v>
      </c>
      <c r="E12" s="67" t="str">
        <v>counterparty</v>
      </c>
      <c r="F12" s="67" t="str">
        <v>company_b</v>
      </c>
      <c r="G12" s="67">
        <v>1560839.2699683122</v>
      </c>
      <c r="I12" s="4" t="str">
        <v>__overall__</v>
      </c>
      <c r="J12" s="4" t="str">
        <v>__overall__</v>
      </c>
      <c r="K12" s="4" t="str">
        <v>overall</v>
      </c>
      <c r="L12" s="4" t="str">
        <v>counterparty</v>
      </c>
      <c r="M12" s="4" t="str">
        <v>company_b</v>
      </c>
      <c r="N12" s="13">
        <v>1560839.2699683122</v>
      </c>
    </row>
    <row r="13" spans="1:14">
      <c r="B13" s="68" t="str">
        <v>__overall__</v>
      </c>
      <c r="C13" s="68" t="str">
        <v>__overall__</v>
      </c>
      <c r="D13" s="67" t="str">
        <v>overall</v>
      </c>
      <c r="E13" s="67" t="str">
        <v>counterparty</v>
      </c>
      <c r="F13" s="67" t="str">
        <v>company_c</v>
      </c>
      <c r="G13" s="67">
        <v>536905.23623025045</v>
      </c>
      <c r="I13" s="4" t="str">
        <v>__overall__</v>
      </c>
      <c r="J13" s="4" t="str">
        <v>__overall__</v>
      </c>
      <c r="K13" s="4" t="str">
        <v>overall</v>
      </c>
      <c r="L13" s="4" t="str">
        <v>counterparty</v>
      </c>
      <c r="M13" s="4" t="str">
        <v>company_c</v>
      </c>
      <c r="N13" s="13">
        <v>536905.23623025045</v>
      </c>
    </row>
    <row r="14" spans="1:14">
      <c r="B14" s="68" t="str">
        <v>level_1</v>
      </c>
      <c r="C14" s="68" t="str">
        <v>direct</v>
      </c>
      <c r="D14" s="67" t="str">
        <v>overall</v>
      </c>
      <c r="E14" s="67" t="str">
        <v>gross charge</v>
      </c>
      <c r="F14" s="67" t="str">
        <v>gross charge</v>
      </c>
      <c r="G14" s="67">
        <v>14725348.208060637</v>
      </c>
      <c r="I14" s="4" t="str">
        <v>__overall__</v>
      </c>
      <c r="J14" s="4" t="str">
        <v>__overall__</v>
      </c>
      <c r="K14" s="4" t="str">
        <v>premium</v>
      </c>
      <c r="L14" s="4" t="str">
        <v>gross charge</v>
      </c>
      <c r="M14" s="4" t="str">
        <v>gross charge</v>
      </c>
      <c r="N14" s="13">
        <v>21543413.259388551</v>
      </c>
    </row>
    <row r="15" spans="1:14">
      <c r="B15" s="68" t="str">
        <v>level_1</v>
      </c>
      <c r="C15" s="68" t="str">
        <v>direct</v>
      </c>
      <c r="D15" s="67" t="str">
        <v>overall</v>
      </c>
      <c r="E15" s="67" t="str">
        <v>net charge</v>
      </c>
      <c r="F15" s="67" t="str">
        <v>net charge</v>
      </c>
      <c r="G15" s="67">
        <v>13166346.451718971</v>
      </c>
      <c r="I15" s="4" t="str">
        <v>__overall__</v>
      </c>
      <c r="J15" s="4" t="str">
        <v>__overall__</v>
      </c>
      <c r="K15" s="4" t="str">
        <v>premium</v>
      </c>
      <c r="L15" s="4" t="str">
        <v>net charge</v>
      </c>
      <c r="M15" s="4" t="str">
        <v>net charge</v>
      </c>
      <c r="N15" s="13">
        <v>18827047.430338152</v>
      </c>
    </row>
    <row r="16" spans="1:14">
      <c r="B16" s="68" t="str">
        <v>level_1</v>
      </c>
      <c r="C16" s="68" t="str">
        <v>direct</v>
      </c>
      <c r="D16" s="67" t="str">
        <v>overall</v>
      </c>
      <c r="E16" s="67" t="str">
        <v>calculated net charge</v>
      </c>
      <c r="F16" s="67" t="str">
        <v>calculated net charge</v>
      </c>
      <c r="G16" s="67">
        <v>13304393.666804045</v>
      </c>
      <c r="I16" s="4" t="str">
        <v>__overall__</v>
      </c>
      <c r="J16" s="4" t="str">
        <v>__overall__</v>
      </c>
      <c r="K16" s="4" t="str">
        <v>premium</v>
      </c>
      <c r="L16" s="4" t="str">
        <v>calculated net charge</v>
      </c>
      <c r="M16" s="4" t="str">
        <v>calculated net charge</v>
      </c>
      <c r="N16" s="13">
        <v>18661487.138704251</v>
      </c>
    </row>
    <row r="17" spans="2:14">
      <c r="B17" s="68" t="str">
        <v>level_1</v>
      </c>
      <c r="C17" s="68" t="str">
        <v>direct</v>
      </c>
      <c r="D17" s="67" t="str">
        <v>overall</v>
      </c>
      <c r="E17" s="67" t="str">
        <v>counterparty</v>
      </c>
      <c r="F17" s="67" t="str">
        <v>company_a</v>
      </c>
      <c r="G17" s="67">
        <v>552028.08996660449</v>
      </c>
      <c r="I17" s="4" t="str">
        <v>__overall__</v>
      </c>
      <c r="J17" s="4" t="str">
        <v>__overall__</v>
      </c>
      <c r="K17" s="4" t="str">
        <v>premium</v>
      </c>
      <c r="L17" s="4" t="str">
        <v>counterparty</v>
      </c>
      <c r="M17" s="4" t="str">
        <v>company_a</v>
      </c>
      <c r="N17" s="13">
        <v>1233237.9094130695</v>
      </c>
    </row>
    <row r="18" spans="2:14">
      <c r="B18" s="68" t="str">
        <v>level_1</v>
      </c>
      <c r="C18" s="68" t="str">
        <v>direct</v>
      </c>
      <c r="D18" s="67" t="str">
        <v>overall</v>
      </c>
      <c r="E18" s="67" t="str">
        <v>counterparty</v>
      </c>
      <c r="F18" s="67" t="str">
        <v>company_b</v>
      </c>
      <c r="G18" s="67">
        <v>588488.66287380643</v>
      </c>
      <c r="I18" s="4" t="str">
        <v>__overall__</v>
      </c>
      <c r="J18" s="4" t="str">
        <v>__overall__</v>
      </c>
      <c r="K18" s="4" t="str">
        <v>premium</v>
      </c>
      <c r="L18" s="4" t="str">
        <v>counterparty</v>
      </c>
      <c r="M18" s="4" t="str">
        <v>company_b</v>
      </c>
      <c r="N18" s="13">
        <v>1216024.852110751</v>
      </c>
    </row>
    <row r="19" spans="2:14">
      <c r="B19" s="68" t="str">
        <v>level_1</v>
      </c>
      <c r="C19" s="68" t="str">
        <v>direct</v>
      </c>
      <c r="D19" s="67" t="str">
        <v>overall</v>
      </c>
      <c r="E19" s="67" t="str">
        <v>counterparty</v>
      </c>
      <c r="F19" s="67" t="str">
        <v>company_c</v>
      </c>
      <c r="G19" s="67">
        <v>269313.57883894816</v>
      </c>
      <c r="I19" s="4" t="str">
        <v>__overall__</v>
      </c>
      <c r="J19" s="4" t="str">
        <v>__overall__</v>
      </c>
      <c r="K19" s="4" t="str">
        <v>premium</v>
      </c>
      <c r="L19" s="4" t="str">
        <v>counterparty</v>
      </c>
      <c r="M19" s="4" t="str">
        <v>company_c</v>
      </c>
      <c r="N19" s="13">
        <v>418936.80645979196</v>
      </c>
    </row>
    <row r="20" spans="2:14">
      <c r="B20" s="68" t="str">
        <v>level_1</v>
      </c>
      <c r="C20" s="68" t="str">
        <v>intermediated</v>
      </c>
      <c r="D20" s="67" t="str">
        <v>overall</v>
      </c>
      <c r="E20" s="67" t="str">
        <v>gross charge</v>
      </c>
      <c r="F20" s="67" t="str">
        <v>gross charge</v>
      </c>
      <c r="G20" s="67">
        <v>5974814.5605519954</v>
      </c>
      <c r="I20" s="4" t="str">
        <v>__overall__</v>
      </c>
      <c r="J20" s="4" t="str">
        <v>__overall__</v>
      </c>
      <c r="K20" s="4" t="str">
        <v>reserve</v>
      </c>
      <c r="L20" s="4" t="str">
        <v>gross charge</v>
      </c>
      <c r="M20" s="4" t="str">
        <v>gross charge</v>
      </c>
      <c r="N20" s="13">
        <v>8348933.314350022</v>
      </c>
    </row>
    <row r="21" spans="2:14">
      <c r="B21" s="68" t="str">
        <v>level_1</v>
      </c>
      <c r="C21" s="68" t="str">
        <v>intermediated</v>
      </c>
      <c r="D21" s="67" t="str">
        <v>overall</v>
      </c>
      <c r="E21" s="67" t="str">
        <v>net charge</v>
      </c>
      <c r="F21" s="67" t="str">
        <v>net charge</v>
      </c>
      <c r="G21" s="67">
        <v>4213700.5997630376</v>
      </c>
      <c r="I21" s="4" t="str">
        <v>__overall__</v>
      </c>
      <c r="J21" s="4" t="str">
        <v>__overall__</v>
      </c>
      <c r="K21" s="4" t="str">
        <v>reserve</v>
      </c>
      <c r="L21" s="4" t="str">
        <v>net charge</v>
      </c>
      <c r="M21" s="4" t="str">
        <v>net charge</v>
      </c>
      <c r="N21" s="13">
        <v>6952944.639422195</v>
      </c>
    </row>
    <row r="22" spans="2:14">
      <c r="B22" s="68" t="str">
        <v>level_1</v>
      </c>
      <c r="C22" s="68" t="str">
        <v>intermediated</v>
      </c>
      <c r="D22" s="68" t="str">
        <v>overall</v>
      </c>
      <c r="E22" s="68" t="str">
        <v>calculated net charge</v>
      </c>
      <c r="F22" s="68" t="str">
        <v>calculated net charge</v>
      </c>
      <c r="G22" s="67">
        <v>4373052.8190186145</v>
      </c>
      <c r="I22" s="4" t="str">
        <v>__overall__</v>
      </c>
      <c r="J22" s="4" t="str">
        <v>__overall__</v>
      </c>
      <c r="K22" s="4" t="str">
        <v>reserve</v>
      </c>
      <c r="L22" s="4" t="str">
        <v>calculated net charge</v>
      </c>
      <c r="M22" s="4" t="str">
        <v>calculated net charge</v>
      </c>
      <c r="N22" s="13">
        <v>7080460.6933393553</v>
      </c>
    </row>
    <row r="23" spans="2:14">
      <c r="B23" s="68" t="str">
        <v>level_1</v>
      </c>
      <c r="C23" s="68" t="str">
        <v>intermediated</v>
      </c>
      <c r="D23" s="68" t="str">
        <v>overall</v>
      </c>
      <c r="E23" s="68" t="str">
        <v>counterparty</v>
      </c>
      <c r="F23" s="68" t="str">
        <v>company_a</v>
      </c>
      <c r="G23" s="67">
        <v>755078.17074071616</v>
      </c>
      <c r="I23" s="4" t="str">
        <v>__overall__</v>
      </c>
      <c r="J23" s="4" t="str">
        <v>__overall__</v>
      </c>
      <c r="K23" s="4" t="str">
        <v>reserve</v>
      </c>
      <c r="L23" s="4" t="str">
        <v>counterparty</v>
      </c>
      <c r="M23" s="4" t="str">
        <v>company_a</v>
      </c>
      <c r="N23" s="13">
        <v>542018.91335697845</v>
      </c>
    </row>
    <row r="24" spans="2:14">
      <c r="B24" s="68" t="str">
        <v>level_1</v>
      </c>
      <c r="C24" s="68" t="str">
        <v>intermediated</v>
      </c>
      <c r="D24" s="68" t="str">
        <v>overall</v>
      </c>
      <c r="E24" s="68" t="str">
        <v>counterparty</v>
      </c>
      <c r="F24" s="68" t="str">
        <v>company_b</v>
      </c>
      <c r="G24" s="67">
        <v>677100.37898569833</v>
      </c>
      <c r="I24" s="4" t="str">
        <v>__overall__</v>
      </c>
      <c r="J24" s="4" t="str">
        <v>__overall__</v>
      </c>
      <c r="K24" s="4" t="str">
        <v>reserve</v>
      </c>
      <c r="L24" s="4" t="str">
        <v>counterparty</v>
      </c>
      <c r="M24" s="4" t="str">
        <v>company_b</v>
      </c>
      <c r="N24" s="13">
        <v>535085.0132117169</v>
      </c>
    </row>
    <row r="25" spans="2:14">
      <c r="B25" s="68" t="str">
        <v>level_1</v>
      </c>
      <c r="C25" s="68" t="str">
        <v>intermediated</v>
      </c>
      <c r="D25" s="68" t="str">
        <v>overall</v>
      </c>
      <c r="E25" s="68" t="str">
        <v>counterparty</v>
      </c>
      <c r="F25" s="68" t="str">
        <v>company_c</v>
      </c>
      <c r="G25" s="67">
        <v>148318.36503052898</v>
      </c>
      <c r="I25" s="7" t="str">
        <v>__overall__</v>
      </c>
      <c r="J25" s="7" t="str">
        <v>__overall__</v>
      </c>
      <c r="K25" s="7" t="str">
        <v>reserve</v>
      </c>
      <c r="L25" s="7" t="str">
        <v>counterparty</v>
      </c>
      <c r="M25" s="7" t="str">
        <v>company_c</v>
      </c>
      <c r="N25" s="62">
        <v>185786.43910978548</v>
      </c>
    </row>
    <row r="26" spans="2:14">
      <c r="B26" s="68" t="str">
        <v>level_1</v>
      </c>
      <c r="C26" s="68" t="str">
        <v>partnerships</v>
      </c>
      <c r="D26" s="68" t="str">
        <v>overall</v>
      </c>
      <c r="E26" s="68" t="str">
        <v>gross charge</v>
      </c>
      <c r="F26" s="68" t="str">
        <v>gross charge</v>
      </c>
      <c r="G26" s="67">
        <v>799670.98199709656</v>
      </c>
    </row>
    <row r="27" spans="2:14">
      <c r="B27" s="68" t="str">
        <v>level_1</v>
      </c>
      <c r="C27" s="68" t="str">
        <v>partnerships</v>
      </c>
      <c r="D27" s="68" t="str">
        <v>overall</v>
      </c>
      <c r="E27" s="68" t="str">
        <v>net charge</v>
      </c>
      <c r="F27" s="68" t="str">
        <v>net charge</v>
      </c>
      <c r="G27" s="67">
        <v>799538.07364756695</v>
      </c>
    </row>
    <row r="28" spans="2:14">
      <c r="B28" s="68" t="str">
        <v>level_1</v>
      </c>
      <c r="C28" s="68" t="str">
        <v>partnerships</v>
      </c>
      <c r="D28" s="68" t="str">
        <v>overall</v>
      </c>
      <c r="E28" s="68" t="str">
        <v>calculated net charge</v>
      </c>
      <c r="F28" s="68" t="str">
        <v>calculated net charge</v>
      </c>
      <c r="G28" s="67">
        <v>799670.98199709656</v>
      </c>
    </row>
    <row r="29" spans="2:14">
      <c r="B29" s="68" t="str">
        <v>level_1</v>
      </c>
      <c r="C29" s="68" t="str">
        <v>specialised</v>
      </c>
      <c r="D29" s="68" t="str">
        <v>overall</v>
      </c>
      <c r="E29" s="68" t="str">
        <v>gross charge</v>
      </c>
      <c r="F29" s="68" t="str">
        <v>gross charge</v>
      </c>
      <c r="G29" s="67">
        <v>7346990.0228495374</v>
      </c>
    </row>
    <row r="30" spans="2:14">
      <c r="B30" s="68" t="str">
        <v>level_1</v>
      </c>
      <c r="C30" s="68" t="str">
        <v>specialised</v>
      </c>
      <c r="D30" s="68" t="str">
        <v>overall</v>
      </c>
      <c r="E30" s="68" t="str">
        <v>net charge</v>
      </c>
      <c r="F30" s="68" t="str">
        <v>net charge</v>
      </c>
      <c r="G30" s="67">
        <v>6710063.8357270118</v>
      </c>
    </row>
    <row r="31" spans="2:14">
      <c r="B31" s="68" t="str">
        <v>level_1</v>
      </c>
      <c r="C31" s="68" t="str">
        <v>specialised</v>
      </c>
      <c r="D31" s="68" t="str">
        <v>overall</v>
      </c>
      <c r="E31" s="68" t="str">
        <v>calculated net charge</v>
      </c>
      <c r="F31" s="68" t="str">
        <v>calculated net charge</v>
      </c>
      <c r="G31" s="67">
        <v>6352716.8541807383</v>
      </c>
    </row>
    <row r="32" spans="2:14">
      <c r="B32" s="68" t="str">
        <v>level_1</v>
      </c>
      <c r="C32" s="68" t="str">
        <v>specialised</v>
      </c>
      <c r="D32" s="68" t="str">
        <v>overall</v>
      </c>
      <c r="E32" s="68" t="str">
        <v>counterparty</v>
      </c>
      <c r="F32" s="68" t="str">
        <v>company_a</v>
      </c>
      <c r="G32" s="67">
        <v>392812.26468703337</v>
      </c>
    </row>
    <row r="33" spans="2:7">
      <c r="B33" s="68" t="str">
        <v>level_1</v>
      </c>
      <c r="C33" s="68" t="str">
        <v>specialised</v>
      </c>
      <c r="D33" s="68" t="str">
        <v>overall</v>
      </c>
      <c r="E33" s="68" t="str">
        <v>counterparty</v>
      </c>
      <c r="F33" s="68" t="str">
        <v>company_b</v>
      </c>
      <c r="G33" s="67">
        <v>409334.75601681881</v>
      </c>
    </row>
    <row r="34" spans="2:7">
      <c r="B34" s="68" t="str">
        <v>level_1</v>
      </c>
      <c r="C34" s="68" t="str">
        <v>specialised</v>
      </c>
      <c r="D34" s="68" t="str">
        <v>overall</v>
      </c>
      <c r="E34" s="68" t="str">
        <v>counterparty</v>
      </c>
      <c r="F34" s="68" t="str">
        <v>company_c</v>
      </c>
      <c r="G34" s="67">
        <v>178093.69620337337</v>
      </c>
    </row>
    <row r="35" spans="2:7">
      <c r="B35" s="68" t="str">
        <v>level_2</v>
      </c>
      <c r="C35" s="68" t="str">
        <v>gauteng</v>
      </c>
      <c r="D35" s="68" t="str">
        <v>overall</v>
      </c>
      <c r="E35" s="68" t="str">
        <v>gross charge</v>
      </c>
      <c r="F35" s="68" t="str">
        <v>gross charge</v>
      </c>
      <c r="G35" s="67">
        <v>2213874.1126166619</v>
      </c>
    </row>
    <row r="36" spans="2:7">
      <c r="B36" s="68" t="str">
        <v>level_2</v>
      </c>
      <c r="C36" s="68" t="str">
        <v>gauteng</v>
      </c>
      <c r="D36" s="68" t="str">
        <v>overall</v>
      </c>
      <c r="E36" s="68" t="str">
        <v>net charge</v>
      </c>
      <c r="F36" s="68" t="str">
        <v>net charge</v>
      </c>
      <c r="G36" s="67">
        <v>1106642.1412088098</v>
      </c>
    </row>
    <row r="37" spans="2:7">
      <c r="B37" s="68" t="str">
        <v>level_2</v>
      </c>
      <c r="C37" s="68" t="str">
        <v>gauteng</v>
      </c>
      <c r="D37" s="68" t="str">
        <v>overall</v>
      </c>
      <c r="E37" s="68" t="str">
        <v>calculated net charge</v>
      </c>
      <c r="F37" s="68" t="str">
        <v>calculated net charge</v>
      </c>
      <c r="G37" s="67">
        <v>1217630.761939164</v>
      </c>
    </row>
    <row r="38" spans="2:7">
      <c r="B38" s="68" t="str">
        <v>level_2</v>
      </c>
      <c r="C38" s="68" t="str">
        <v>gauteng</v>
      </c>
      <c r="D38" s="68" t="str">
        <v>overall</v>
      </c>
      <c r="E38" s="68" t="str">
        <v>counterparty</v>
      </c>
      <c r="F38" s="68" t="str">
        <v>company_a</v>
      </c>
      <c r="G38" s="67">
        <v>553468.52815416548</v>
      </c>
    </row>
    <row r="39" spans="2:7">
      <c r="B39" s="68" t="str">
        <v>level_2</v>
      </c>
      <c r="C39" s="68" t="str">
        <v>gauteng</v>
      </c>
      <c r="D39" s="68" t="str">
        <v>overall</v>
      </c>
      <c r="E39" s="68" t="str">
        <v>counterparty</v>
      </c>
      <c r="F39" s="68" t="str">
        <v>company_b</v>
      </c>
      <c r="G39" s="67">
        <v>442774.82252333243</v>
      </c>
    </row>
    <row r="40" spans="2:7">
      <c r="B40" s="68" t="str">
        <v>level_2</v>
      </c>
      <c r="C40" s="68" t="str">
        <v>kzn</v>
      </c>
      <c r="D40" s="68" t="str">
        <v>overall</v>
      </c>
      <c r="E40" s="68" t="str">
        <v>gross charge</v>
      </c>
      <c r="F40" s="68" t="str">
        <v>gross charge</v>
      </c>
      <c r="G40" s="67">
        <v>1219334.4418685799</v>
      </c>
    </row>
    <row r="41" spans="2:7">
      <c r="B41" s="68" t="str">
        <v>level_2</v>
      </c>
      <c r="C41" s="68" t="str">
        <v>kzn</v>
      </c>
      <c r="D41" s="68" t="str">
        <v>overall</v>
      </c>
      <c r="E41" s="68" t="str">
        <v>net charge</v>
      </c>
      <c r="F41" s="68" t="str">
        <v>net charge</v>
      </c>
      <c r="G41" s="67">
        <v>1219227.059142811</v>
      </c>
    </row>
    <row r="42" spans="2:7">
      <c r="B42" s="68" t="str">
        <v>level_2</v>
      </c>
      <c r="C42" s="68" t="str">
        <v>kzn</v>
      </c>
      <c r="D42" s="68" t="str">
        <v>overall</v>
      </c>
      <c r="E42" s="68" t="str">
        <v>calculated net charge</v>
      </c>
      <c r="F42" s="68" t="str">
        <v>calculated net charge</v>
      </c>
      <c r="G42" s="67">
        <v>1219334.4418685799</v>
      </c>
    </row>
    <row r="43" spans="2:7">
      <c r="B43" s="68" t="str">
        <v>level_2</v>
      </c>
      <c r="C43" s="68" t="str">
        <v>limpopo</v>
      </c>
      <c r="D43" s="68" t="str">
        <v>overall</v>
      </c>
      <c r="E43" s="68" t="str">
        <v>gross charge</v>
      </c>
      <c r="F43" s="68" t="str">
        <v>gross charge</v>
      </c>
      <c r="G43" s="67">
        <v>6083749.9331477517</v>
      </c>
    </row>
    <row r="44" spans="2:7">
      <c r="B44" s="68" t="str">
        <v>level_2</v>
      </c>
      <c r="C44" s="68" t="str">
        <v>limpopo</v>
      </c>
      <c r="D44" s="68" t="str">
        <v>overall</v>
      </c>
      <c r="E44" s="68" t="str">
        <v>net charge</v>
      </c>
      <c r="F44" s="68" t="str">
        <v>net charge</v>
      </c>
      <c r="G44" s="67">
        <v>5649953.593754949</v>
      </c>
    </row>
    <row r="45" spans="2:7">
      <c r="B45" s="68" t="str">
        <v>level_2</v>
      </c>
      <c r="C45" s="68" t="str">
        <v>limpopo</v>
      </c>
      <c r="D45" s="68" t="str">
        <v>overall</v>
      </c>
      <c r="E45" s="68" t="str">
        <v>calculated net charge</v>
      </c>
      <c r="F45" s="68" t="str">
        <v>calculated net charge</v>
      </c>
      <c r="G45" s="67">
        <v>5678502.2014692333</v>
      </c>
    </row>
    <row r="46" spans="2:7">
      <c r="B46" s="68" t="str">
        <v>level_2</v>
      </c>
      <c r="C46" s="68" t="str">
        <v>limpopo</v>
      </c>
      <c r="D46" s="68" t="str">
        <v>overall</v>
      </c>
      <c r="E46" s="68" t="str">
        <v>counterparty</v>
      </c>
      <c r="F46" s="68" t="str">
        <v>company_b</v>
      </c>
      <c r="G46" s="67">
        <v>143573.78091094363</v>
      </c>
    </row>
    <row r="47" spans="2:7">
      <c r="B47" s="68" t="str">
        <v>level_2</v>
      </c>
      <c r="C47" s="68" t="str">
        <v>limpopo</v>
      </c>
      <c r="D47" s="68" t="str">
        <v>overall</v>
      </c>
      <c r="E47" s="68" t="str">
        <v>counterparty</v>
      </c>
      <c r="F47" s="68" t="str">
        <v>company_c</v>
      </c>
      <c r="G47" s="67">
        <v>259381.41869406775</v>
      </c>
    </row>
    <row r="48" spans="2:7">
      <c r="B48" s="68" t="str">
        <v>level_2</v>
      </c>
      <c r="C48" s="68" t="str">
        <v>north west</v>
      </c>
      <c r="D48" s="68" t="str">
        <v>overall</v>
      </c>
      <c r="E48" s="68" t="str">
        <v>gross charge</v>
      </c>
      <c r="F48" s="68" t="str">
        <v>gross charge</v>
      </c>
      <c r="G48" s="67">
        <v>5898015.0035073403</v>
      </c>
    </row>
    <row r="49" spans="2:7">
      <c r="B49" s="68" t="str">
        <v>level_2</v>
      </c>
      <c r="C49" s="68" t="str">
        <v>north west</v>
      </c>
      <c r="D49" s="68" t="str">
        <v>overall</v>
      </c>
      <c r="E49" s="68" t="str">
        <v>net charge</v>
      </c>
      <c r="F49" s="68" t="str">
        <v>net charge</v>
      </c>
      <c r="G49" s="67">
        <v>4752711.9028189108</v>
      </c>
    </row>
    <row r="50" spans="2:7">
      <c r="B50" s="68" t="str">
        <v>level_2</v>
      </c>
      <c r="C50" s="68" t="str">
        <v>north west</v>
      </c>
      <c r="D50" s="68" t="str">
        <v>overall</v>
      </c>
      <c r="E50" s="68" t="str">
        <v>calculated net charge</v>
      </c>
      <c r="F50" s="68" t="str">
        <v>calculated net charge</v>
      </c>
      <c r="G50" s="67">
        <v>4858871.5530990399</v>
      </c>
    </row>
    <row r="51" spans="2:7">
      <c r="B51" s="68" t="str">
        <v>level_2</v>
      </c>
      <c r="C51" s="68" t="str">
        <v>north west</v>
      </c>
      <c r="D51" s="68" t="str">
        <v>overall</v>
      </c>
      <c r="E51" s="68" t="str">
        <v>counterparty</v>
      </c>
      <c r="F51" s="68" t="str">
        <v>company_a</v>
      </c>
      <c r="G51" s="67">
        <v>560531.77915861458</v>
      </c>
    </row>
    <row r="52" spans="2:7">
      <c r="B52" s="68" t="str">
        <v>level_2</v>
      </c>
      <c r="C52" s="68" t="str">
        <v>north west</v>
      </c>
      <c r="D52" s="68" t="str">
        <v>overall</v>
      </c>
      <c r="E52" s="68" t="str">
        <v>counterparty</v>
      </c>
      <c r="F52" s="68" t="str">
        <v>company_b</v>
      </c>
      <c r="G52" s="67">
        <v>444706.31772537157</v>
      </c>
    </row>
    <row r="53" spans="2:7">
      <c r="B53" s="68" t="str">
        <v>level_2</v>
      </c>
      <c r="C53" s="68" t="str">
        <v>eastern cape</v>
      </c>
      <c r="D53" s="68" t="str">
        <v>overall</v>
      </c>
      <c r="E53" s="68" t="str">
        <v>gross charge</v>
      </c>
      <c r="F53" s="68" t="str">
        <v>gross charge</v>
      </c>
      <c r="G53" s="67">
        <v>2779270.8014661032</v>
      </c>
    </row>
    <row r="54" spans="2:7">
      <c r="B54" s="68" t="str">
        <v>level_2</v>
      </c>
      <c r="C54" s="68" t="str">
        <v>eastern cape</v>
      </c>
      <c r="D54" s="68" t="str">
        <v>overall</v>
      </c>
      <c r="E54" s="68" t="str">
        <v>net charge</v>
      </c>
      <c r="F54" s="68" t="str">
        <v>net charge</v>
      </c>
      <c r="G54" s="67">
        <v>2581314.7842029906</v>
      </c>
    </row>
    <row r="55" spans="2:7">
      <c r="B55" s="68" t="str">
        <v>level_2</v>
      </c>
      <c r="C55" s="68" t="str">
        <v>eastern cape</v>
      </c>
      <c r="D55" s="68" t="str">
        <v>overall</v>
      </c>
      <c r="E55" s="68" t="str">
        <v>calculated net charge</v>
      </c>
      <c r="F55" s="68" t="str">
        <v>calculated net charge</v>
      </c>
      <c r="G55" s="67">
        <v>2594263.1415814213</v>
      </c>
    </row>
    <row r="56" spans="2:7">
      <c r="B56" s="68" t="str">
        <v>level_2</v>
      </c>
      <c r="C56" s="68" t="str">
        <v>eastern cape</v>
      </c>
      <c r="D56" s="68" t="str">
        <v>overall</v>
      </c>
      <c r="E56" s="68" t="str">
        <v>counterparty</v>
      </c>
      <c r="F56" s="68" t="str">
        <v>company_b</v>
      </c>
      <c r="G56" s="67">
        <v>65298.410886846483</v>
      </c>
    </row>
    <row r="57" spans="2:7">
      <c r="B57" s="68" t="str">
        <v>level_2</v>
      </c>
      <c r="C57" s="68" t="str">
        <v>eastern cape</v>
      </c>
      <c r="D57" s="68" t="str">
        <v>overall</v>
      </c>
      <c r="E57" s="68" t="str">
        <v>counterparty</v>
      </c>
      <c r="F57" s="68" t="str">
        <v>company_c</v>
      </c>
      <c r="G57" s="67">
        <v>118172.86002831254</v>
      </c>
    </row>
    <row r="58" spans="2:7">
      <c r="B58" s="68" t="str">
        <v>level_2</v>
      </c>
      <c r="C58" s="68" t="str">
        <v>free state</v>
      </c>
      <c r="D58" s="68" t="str">
        <v>overall</v>
      </c>
      <c r="E58" s="68" t="str">
        <v>gross charge</v>
      </c>
      <c r="F58" s="68" t="str">
        <v>gross charge</v>
      </c>
      <c r="G58" s="67">
        <v>4450505.4614063352</v>
      </c>
    </row>
    <row r="59" spans="2:7">
      <c r="B59" s="68" t="str">
        <v>level_2</v>
      </c>
      <c r="C59" s="68" t="str">
        <v>free state</v>
      </c>
      <c r="D59" s="68" t="str">
        <v>overall</v>
      </c>
      <c r="E59" s="68" t="str">
        <v>net charge</v>
      </c>
      <c r="F59" s="68" t="str">
        <v>net charge</v>
      </c>
      <c r="G59" s="67">
        <v>3772567.1907483246</v>
      </c>
    </row>
    <row r="60" spans="2:7">
      <c r="B60" s="68" t="str">
        <v>level_2</v>
      </c>
      <c r="C60" s="68" t="str">
        <v>free state</v>
      </c>
      <c r="D60" s="68" t="str">
        <v>overall</v>
      </c>
      <c r="E60" s="68" t="str">
        <v>calculated net charge</v>
      </c>
      <c r="F60" s="68" t="str">
        <v>calculated net charge</v>
      </c>
      <c r="G60" s="67">
        <v>3831938.586062979</v>
      </c>
    </row>
    <row r="61" spans="2:7">
      <c r="B61" s="68" t="str">
        <v>level_2</v>
      </c>
      <c r="C61" s="68" t="str">
        <v>free state</v>
      </c>
      <c r="D61" s="68" t="str">
        <v>overall</v>
      </c>
      <c r="E61" s="68" t="str">
        <v>counterparty</v>
      </c>
      <c r="F61" s="68" t="str">
        <v>company_a</v>
      </c>
      <c r="G61" s="67">
        <v>253170.46650259662</v>
      </c>
    </row>
    <row r="62" spans="2:7">
      <c r="B62" s="68" t="str">
        <v>level_2</v>
      </c>
      <c r="C62" s="68" t="str">
        <v>free state</v>
      </c>
      <c r="D62" s="68" t="str">
        <v>overall</v>
      </c>
      <c r="E62" s="68" t="str">
        <v>counterparty</v>
      </c>
      <c r="F62" s="68" t="str">
        <v>company_b</v>
      </c>
      <c r="G62" s="67">
        <v>255488.21296015568</v>
      </c>
    </row>
    <row r="63" spans="2:7">
      <c r="B63" s="68" t="str">
        <v>level_2</v>
      </c>
      <c r="C63" s="68" t="str">
        <v>free state</v>
      </c>
      <c r="D63" s="68" t="str">
        <v>overall</v>
      </c>
      <c r="E63" s="68" t="str">
        <v>counterparty</v>
      </c>
      <c r="F63" s="68" t="str">
        <v>company_c</v>
      </c>
      <c r="G63" s="67">
        <v>100801.66854011919</v>
      </c>
    </row>
    <row r="64" spans="2:7">
      <c r="B64" s="68" t="str">
        <v>level_2</v>
      </c>
      <c r="C64" s="68" t="str">
        <v>northern cape</v>
      </c>
      <c r="D64" s="68" t="str">
        <v>overall</v>
      </c>
      <c r="E64" s="68" t="str">
        <v>gross charge</v>
      </c>
      <c r="F64" s="68" t="str">
        <v>gross charge</v>
      </c>
      <c r="G64" s="67">
        <v>5393818.6767365318</v>
      </c>
    </row>
    <row r="65" spans="2:7">
      <c r="B65" s="68" t="str">
        <v>level_2</v>
      </c>
      <c r="C65" s="68" t="str">
        <v>northern cape</v>
      </c>
      <c r="D65" s="68" t="str">
        <v>overall</v>
      </c>
      <c r="E65" s="68" t="str">
        <v>net charge</v>
      </c>
      <c r="F65" s="68" t="str">
        <v>net charge</v>
      </c>
      <c r="G65" s="67">
        <v>5077017.9014536142</v>
      </c>
    </row>
    <row r="66" spans="2:7">
      <c r="B66" s="68" t="str">
        <v>level_2</v>
      </c>
      <c r="C66" s="68" t="str">
        <v>northern cape</v>
      </c>
      <c r="D66" s="68" t="str">
        <v>overall</v>
      </c>
      <c r="E66" s="68" t="str">
        <v>calculated net charge</v>
      </c>
      <c r="F66" s="68" t="str">
        <v>calculated net charge</v>
      </c>
      <c r="G66" s="67">
        <v>5040891.1339115528</v>
      </c>
    </row>
    <row r="67" spans="2:7">
      <c r="B67" s="68" t="str">
        <v>level_2</v>
      </c>
      <c r="C67" s="68" t="str">
        <v>northern cape</v>
      </c>
      <c r="D67" s="68" t="str">
        <v>overall</v>
      </c>
      <c r="E67" s="68" t="str">
        <v>counterparty</v>
      </c>
      <c r="F67" s="68" t="str">
        <v>company_a</v>
      </c>
      <c r="G67" s="67">
        <v>189127.37961827125</v>
      </c>
    </row>
    <row r="68" spans="2:7">
      <c r="B68" s="68" t="str">
        <v>level_2</v>
      </c>
      <c r="C68" s="68" t="str">
        <v>northern cape</v>
      </c>
      <c r="D68" s="68" t="str">
        <v>overall</v>
      </c>
      <c r="E68" s="68" t="str">
        <v>counterparty</v>
      </c>
      <c r="F68" s="68" t="str">
        <v>company_b</v>
      </c>
      <c r="G68" s="67">
        <v>149860.75310634263</v>
      </c>
    </row>
    <row r="69" spans="2:7">
      <c r="B69" s="68" t="str">
        <v>level_2</v>
      </c>
      <c r="C69" s="68" t="str">
        <v>western cape</v>
      </c>
      <c r="D69" s="68" t="str">
        <v>overall</v>
      </c>
      <c r="E69" s="68" t="str">
        <v>gross charge</v>
      </c>
      <c r="F69" s="68" t="str">
        <v>gross charge</v>
      </c>
      <c r="G69" s="67">
        <v>4438230.2576274928</v>
      </c>
    </row>
    <row r="70" spans="2:7">
      <c r="B70" s="68" t="str">
        <v>level_2</v>
      </c>
      <c r="C70" s="68" t="str">
        <v>western cape</v>
      </c>
      <c r="D70" s="68" t="str">
        <v>overall</v>
      </c>
      <c r="E70" s="68" t="str">
        <v>net charge</v>
      </c>
      <c r="F70" s="68" t="str">
        <v>net charge</v>
      </c>
      <c r="G70" s="67">
        <v>3699319.7562067546</v>
      </c>
    </row>
    <row r="71" spans="2:7">
      <c r="B71" s="68" t="str">
        <v>level_2</v>
      </c>
      <c r="C71" s="68" t="str">
        <v>western cape</v>
      </c>
      <c r="D71" s="68" t="str">
        <v>overall</v>
      </c>
      <c r="E71" s="68" t="str">
        <v>calculated net charge</v>
      </c>
      <c r="F71" s="68" t="str">
        <v>calculated net charge</v>
      </c>
      <c r="G71" s="67">
        <v>3419146.1078602504</v>
      </c>
    </row>
    <row r="72" spans="2:7">
      <c r="B72" s="68" t="str">
        <v>level_2</v>
      </c>
      <c r="C72" s="68" t="str">
        <v>western cape</v>
      </c>
      <c r="D72" s="68" t="str">
        <v>overall</v>
      </c>
      <c r="E72" s="68" t="str">
        <v>counterparty</v>
      </c>
      <c r="F72" s="68" t="str">
        <v>company_a</v>
      </c>
      <c r="G72" s="67">
        <v>421416.818288601</v>
      </c>
    </row>
    <row r="73" spans="2:7">
      <c r="B73" s="68" t="str">
        <v>level_2</v>
      </c>
      <c r="C73" s="68" t="str">
        <v>western cape</v>
      </c>
      <c r="D73" s="68" t="str">
        <v>overall</v>
      </c>
      <c r="E73" s="68" t="str">
        <v>counterparty</v>
      </c>
      <c r="F73" s="68" t="str">
        <v>company_b</v>
      </c>
      <c r="G73" s="67">
        <v>421224.18316326104</v>
      </c>
    </row>
    <row r="74" spans="2:7">
      <c r="B74" s="68" t="str">
        <v>level_2</v>
      </c>
      <c r="C74" s="68" t="str">
        <v>western cape</v>
      </c>
      <c r="D74" s="68" t="str">
        <v>overall</v>
      </c>
      <c r="E74" s="68" t="str">
        <v>counterparty</v>
      </c>
      <c r="F74" s="68" t="str">
        <v>company_c</v>
      </c>
      <c r="G74" s="67">
        <v>164858.21236536</v>
      </c>
    </row>
    <row r="75" spans="2:7">
      <c r="B75" s="68" t="str">
        <v>__overall__</v>
      </c>
      <c r="C75" s="68" t="str">
        <v>__overall__</v>
      </c>
      <c r="D75" s="68" t="str">
        <v>premium</v>
      </c>
      <c r="E75" s="68" t="str">
        <v>gross charge</v>
      </c>
      <c r="F75" s="68" t="str">
        <v>gross charge</v>
      </c>
      <c r="G75" s="67">
        <v>21543413.259388551</v>
      </c>
    </row>
    <row r="76" spans="2:7">
      <c r="B76" s="68" t="str">
        <v>__overall__</v>
      </c>
      <c r="C76" s="68" t="str">
        <v>__overall__</v>
      </c>
      <c r="D76" s="68" t="str">
        <v>premium</v>
      </c>
      <c r="E76" s="68" t="str">
        <v>net charge</v>
      </c>
      <c r="F76" s="68" t="str">
        <v>net charge</v>
      </c>
      <c r="G76" s="67">
        <v>18827047.430338152</v>
      </c>
    </row>
    <row r="77" spans="2:7">
      <c r="B77" s="68" t="str">
        <v>__overall__</v>
      </c>
      <c r="C77" s="68" t="str">
        <v>__overall__</v>
      </c>
      <c r="D77" s="68" t="str">
        <v>premium</v>
      </c>
      <c r="E77" s="68" t="str">
        <v>calculated net charge</v>
      </c>
      <c r="F77" s="68" t="str">
        <v>calculated net charge</v>
      </c>
      <c r="G77" s="67">
        <v>18661487.138704251</v>
      </c>
    </row>
    <row r="78" spans="2:7">
      <c r="B78" s="68" t="str">
        <v>__overall__</v>
      </c>
      <c r="C78" s="68" t="str">
        <v>__overall__</v>
      </c>
      <c r="D78" s="68" t="str">
        <v>premium</v>
      </c>
      <c r="E78" s="68" t="str">
        <v>counterparty</v>
      </c>
      <c r="F78" s="68" t="str">
        <v>company_a</v>
      </c>
      <c r="G78" s="67">
        <v>1233237.9094130695</v>
      </c>
    </row>
    <row r="79" spans="2:7">
      <c r="B79" s="68" t="str">
        <v>__overall__</v>
      </c>
      <c r="C79" s="68" t="str">
        <v>__overall__</v>
      </c>
      <c r="D79" s="68" t="str">
        <v>premium</v>
      </c>
      <c r="E79" s="68" t="str">
        <v>counterparty</v>
      </c>
      <c r="F79" s="68" t="str">
        <v>company_b</v>
      </c>
      <c r="G79" s="67">
        <v>1216024.852110751</v>
      </c>
    </row>
    <row r="80" spans="2:7">
      <c r="B80" s="68" t="str">
        <v>__overall__</v>
      </c>
      <c r="C80" s="68" t="str">
        <v>__overall__</v>
      </c>
      <c r="D80" s="68" t="str">
        <v>premium</v>
      </c>
      <c r="E80" s="68" t="str">
        <v>counterparty</v>
      </c>
      <c r="F80" s="68" t="str">
        <v>company_c</v>
      </c>
      <c r="G80" s="67">
        <v>418936.80645979196</v>
      </c>
    </row>
    <row r="81" spans="2:7">
      <c r="B81" s="68" t="str">
        <v>level_1</v>
      </c>
      <c r="C81" s="68" t="str">
        <v>direct</v>
      </c>
      <c r="D81" s="68" t="str">
        <v>premium</v>
      </c>
      <c r="E81" s="68" t="str">
        <v>gross charge</v>
      </c>
      <c r="F81" s="68" t="str">
        <v>gross charge</v>
      </c>
      <c r="G81" s="67">
        <v>12167463.779312814</v>
      </c>
    </row>
    <row r="82" spans="2:7">
      <c r="B82" s="68" t="str">
        <v>level_1</v>
      </c>
      <c r="C82" s="68" t="str">
        <v>direct</v>
      </c>
      <c r="D82" s="68" t="str">
        <v>premium</v>
      </c>
      <c r="E82" s="68" t="str">
        <v>net charge</v>
      </c>
      <c r="F82" s="68" t="str">
        <v>net charge</v>
      </c>
      <c r="G82" s="67">
        <v>10886038.340626245</v>
      </c>
    </row>
    <row r="83" spans="2:7">
      <c r="B83" s="68" t="str">
        <v>level_1</v>
      </c>
      <c r="C83" s="68" t="str">
        <v>direct</v>
      </c>
      <c r="D83" s="68" t="str">
        <v>premium</v>
      </c>
      <c r="E83" s="68" t="str">
        <v>calculated net charge</v>
      </c>
      <c r="F83" s="68" t="str">
        <v>calculated net charge</v>
      </c>
      <c r="G83" s="67">
        <v>11000294.119697988</v>
      </c>
    </row>
    <row r="84" spans="2:7">
      <c r="B84" s="68" t="str">
        <v>level_1</v>
      </c>
      <c r="C84" s="68" t="str">
        <v>direct</v>
      </c>
      <c r="D84" s="68" t="str">
        <v>premium</v>
      </c>
      <c r="E84" s="68" t="str">
        <v>counterparty</v>
      </c>
      <c r="F84" s="68" t="str">
        <v>company_a</v>
      </c>
      <c r="G84" s="67">
        <v>466352.63050723262</v>
      </c>
    </row>
    <row r="85" spans="2:7">
      <c r="B85" s="68" t="str">
        <v>level_1</v>
      </c>
      <c r="C85" s="68" t="str">
        <v>direct</v>
      </c>
      <c r="D85" s="68" t="str">
        <v>premium</v>
      </c>
      <c r="E85" s="68" t="str">
        <v>counterparty</v>
      </c>
      <c r="F85" s="68" t="str">
        <v>company_b</v>
      </c>
      <c r="G85" s="67">
        <v>485217.55681573227</v>
      </c>
    </row>
    <row r="86" spans="2:7">
      <c r="B86" s="68" t="str">
        <v>level_1</v>
      </c>
      <c r="C86" s="68" t="str">
        <v>direct</v>
      </c>
      <c r="D86" s="68" t="str">
        <v>premium</v>
      </c>
      <c r="E86" s="68" t="str">
        <v>counterparty</v>
      </c>
      <c r="F86" s="68" t="str">
        <v>company_c</v>
      </c>
      <c r="G86" s="67">
        <v>205883.97857216746</v>
      </c>
    </row>
    <row r="87" spans="2:7">
      <c r="B87" s="68" t="str">
        <v>level_1</v>
      </c>
      <c r="C87" s="68" t="str">
        <v>intermediated</v>
      </c>
      <c r="D87" s="68" t="str">
        <v>premium</v>
      </c>
      <c r="E87" s="68" t="str">
        <v>gross charge</v>
      </c>
      <c r="F87" s="68" t="str">
        <v>gross charge</v>
      </c>
      <c r="G87" s="67">
        <v>5022795.7352242041</v>
      </c>
    </row>
    <row r="88" spans="2:7">
      <c r="B88" s="68" t="str">
        <v>level_1</v>
      </c>
      <c r="C88" s="68" t="str">
        <v>intermediated</v>
      </c>
      <c r="D88" s="68" t="str">
        <v>premium</v>
      </c>
      <c r="E88" s="68" t="str">
        <v>net charge</v>
      </c>
      <c r="F88" s="68" t="str">
        <v>net charge</v>
      </c>
      <c r="G88" s="67">
        <v>3559475.0500263032</v>
      </c>
    </row>
    <row r="89" spans="2:7">
      <c r="B89" s="68" t="str">
        <v>level_1</v>
      </c>
      <c r="C89" s="68" t="str">
        <v>intermediated</v>
      </c>
      <c r="D89" s="68" t="str">
        <v>premium</v>
      </c>
      <c r="E89" s="68" t="str">
        <v>calculated net charge</v>
      </c>
      <c r="F89" s="68" t="str">
        <v>calculated net charge</v>
      </c>
      <c r="G89" s="67">
        <v>3691728.313170922</v>
      </c>
    </row>
    <row r="90" spans="2:7">
      <c r="B90" s="68" t="str">
        <v>level_1</v>
      </c>
      <c r="C90" s="68" t="str">
        <v>intermediated</v>
      </c>
      <c r="D90" s="68" t="str">
        <v>premium</v>
      </c>
      <c r="E90" s="68" t="str">
        <v>counterparty</v>
      </c>
      <c r="F90" s="68" t="str">
        <v>company_a</v>
      </c>
      <c r="G90" s="67">
        <v>626976.72011503391</v>
      </c>
    </row>
    <row r="91" spans="2:7">
      <c r="B91" s="68" t="str">
        <v>level_1</v>
      </c>
      <c r="C91" s="68" t="str">
        <v>intermediated</v>
      </c>
      <c r="D91" s="68" t="str">
        <v>premium</v>
      </c>
      <c r="E91" s="68" t="str">
        <v>counterparty</v>
      </c>
      <c r="F91" s="68" t="str">
        <v>company_b</v>
      </c>
      <c r="G91" s="67">
        <v>562333.42888538912</v>
      </c>
    </row>
    <row r="92" spans="2:7">
      <c r="B92" s="68" t="str">
        <v>level_1</v>
      </c>
      <c r="C92" s="68" t="str">
        <v>intermediated</v>
      </c>
      <c r="D92" s="68" t="str">
        <v>premium</v>
      </c>
      <c r="E92" s="68" t="str">
        <v>counterparty</v>
      </c>
      <c r="F92" s="68" t="str">
        <v>company_c</v>
      </c>
      <c r="G92" s="67">
        <v>123342.87295128684</v>
      </c>
    </row>
    <row r="93" spans="2:7">
      <c r="B93" s="68" t="str">
        <v>level_1</v>
      </c>
      <c r="C93" s="68" t="str">
        <v>partnerships</v>
      </c>
      <c r="D93" s="68" t="str">
        <v>premium</v>
      </c>
      <c r="E93" s="68" t="str">
        <v>gross charge</v>
      </c>
      <c r="F93" s="68" t="str">
        <v>gross charge</v>
      </c>
      <c r="G93" s="67">
        <v>679467.3</v>
      </c>
    </row>
    <row r="94" spans="2:7">
      <c r="B94" s="68" t="str">
        <v>level_1</v>
      </c>
      <c r="C94" s="68" t="str">
        <v>partnerships</v>
      </c>
      <c r="D94" s="68" t="str">
        <v>premium</v>
      </c>
      <c r="E94" s="68" t="str">
        <v>net charge</v>
      </c>
      <c r="F94" s="68" t="str">
        <v>net charge</v>
      </c>
      <c r="G94" s="67">
        <v>679331.10000000009</v>
      </c>
    </row>
    <row r="95" spans="2:7">
      <c r="B95" s="68" t="str">
        <v>level_1</v>
      </c>
      <c r="C95" s="68" t="str">
        <v>partnerships</v>
      </c>
      <c r="D95" s="68" t="str">
        <v>premium</v>
      </c>
      <c r="E95" s="68" t="str">
        <v>calculated net charge</v>
      </c>
      <c r="F95" s="68" t="str">
        <v>calculated net charge</v>
      </c>
      <c r="G95" s="67">
        <v>679467.3</v>
      </c>
    </row>
    <row r="96" spans="2:7">
      <c r="B96" s="68" t="str">
        <v>level_1</v>
      </c>
      <c r="C96" s="68" t="str">
        <v>specialised</v>
      </c>
      <c r="D96" s="68" t="str">
        <v>premium</v>
      </c>
      <c r="E96" s="68" t="str">
        <v>gross charge</v>
      </c>
      <c r="F96" s="68" t="str">
        <v>gross charge</v>
      </c>
      <c r="G96" s="67">
        <v>5306639.6045899959</v>
      </c>
    </row>
    <row r="97" spans="2:7">
      <c r="B97" s="68" t="str">
        <v>level_1</v>
      </c>
      <c r="C97" s="68" t="str">
        <v>specialised</v>
      </c>
      <c r="D97" s="68" t="str">
        <v>premium</v>
      </c>
      <c r="E97" s="68" t="str">
        <v>net charge</v>
      </c>
      <c r="F97" s="68" t="str">
        <v>net charge</v>
      </c>
      <c r="G97" s="67">
        <v>5120290.5483812168</v>
      </c>
    </row>
    <row r="98" spans="2:7">
      <c r="B98" s="68" t="str">
        <v>level_1</v>
      </c>
      <c r="C98" s="68" t="str">
        <v>specialised</v>
      </c>
      <c r="D98" s="68" t="str">
        <v>premium</v>
      </c>
      <c r="E98" s="68" t="str">
        <v>calculated net charge</v>
      </c>
      <c r="F98" s="68" t="str">
        <v>calculated net charge</v>
      </c>
      <c r="G98" s="67">
        <v>4680468.1722882874</v>
      </c>
    </row>
    <row r="99" spans="2:7">
      <c r="B99" s="68" t="str">
        <v>level_1</v>
      </c>
      <c r="C99" s="68" t="str">
        <v>specialised</v>
      </c>
      <c r="D99" s="68" t="str">
        <v>premium</v>
      </c>
      <c r="E99" s="68" t="str">
        <v>counterparty</v>
      </c>
      <c r="F99" s="68" t="str">
        <v>company_a</v>
      </c>
      <c r="G99" s="67">
        <v>224696.69121206924</v>
      </c>
    </row>
    <row r="100" spans="2:7">
      <c r="B100" s="68" t="str">
        <v>level_1</v>
      </c>
      <c r="C100" s="68" t="str">
        <v>specialised</v>
      </c>
      <c r="D100" s="68" t="str">
        <v>premium</v>
      </c>
      <c r="E100" s="68" t="str">
        <v>counterparty</v>
      </c>
      <c r="F100" s="68" t="str">
        <v>company_b</v>
      </c>
      <c r="G100" s="67">
        <v>254882.10697804391</v>
      </c>
    </row>
    <row r="101" spans="2:7">
      <c r="B101" s="68" t="str">
        <v>level_1</v>
      </c>
      <c r="C101" s="68" t="str">
        <v>specialised</v>
      </c>
      <c r="D101" s="68" t="str">
        <v>premium</v>
      </c>
      <c r="E101" s="68" t="str">
        <v>counterparty</v>
      </c>
      <c r="F101" s="68" t="str">
        <v>company_c</v>
      </c>
      <c r="G101" s="67">
        <v>139146.93024579342</v>
      </c>
    </row>
    <row r="102" spans="2:7">
      <c r="B102" s="68" t="str">
        <v>level_2</v>
      </c>
      <c r="C102" s="68" t="str">
        <v>gauteng</v>
      </c>
      <c r="D102" s="68" t="str">
        <v>premium</v>
      </c>
      <c r="E102" s="68" t="str">
        <v>gross charge</v>
      </c>
      <c r="F102" s="68" t="str">
        <v>gross charge</v>
      </c>
      <c r="G102" s="67">
        <v>1869531.2586117061</v>
      </c>
    </row>
    <row r="103" spans="2:7">
      <c r="B103" s="68" t="str">
        <v>level_2</v>
      </c>
      <c r="C103" s="68" t="str">
        <v>gauteng</v>
      </c>
      <c r="D103" s="68" t="str">
        <v>premium</v>
      </c>
      <c r="E103" s="68" t="str">
        <v>net charge</v>
      </c>
      <c r="F103" s="68" t="str">
        <v>net charge</v>
      </c>
      <c r="G103" s="67">
        <v>934468.6764973792</v>
      </c>
    </row>
    <row r="104" spans="2:7">
      <c r="B104" s="68" t="str">
        <v>level_2</v>
      </c>
      <c r="C104" s="68" t="str">
        <v>gauteng</v>
      </c>
      <c r="D104" s="68" t="str">
        <v>premium</v>
      </c>
      <c r="E104" s="68" t="str">
        <v>calculated net charge</v>
      </c>
      <c r="F104" s="68" t="str">
        <v>calculated net charge</v>
      </c>
      <c r="G104" s="67">
        <v>1028242.1922364383</v>
      </c>
    </row>
    <row r="105" spans="2:7">
      <c r="B105" s="68" t="str">
        <v>level_2</v>
      </c>
      <c r="C105" s="68" t="str">
        <v>gauteng</v>
      </c>
      <c r="D105" s="68" t="str">
        <v>premium</v>
      </c>
      <c r="E105" s="68" t="str">
        <v>counterparty</v>
      </c>
      <c r="F105" s="68" t="str">
        <v>company_a</v>
      </c>
      <c r="G105" s="67">
        <v>467382.81465292687</v>
      </c>
    </row>
    <row r="106" spans="2:7">
      <c r="B106" s="68" t="str">
        <v>level_2</v>
      </c>
      <c r="C106" s="68" t="str">
        <v>gauteng</v>
      </c>
      <c r="D106" s="68" t="str">
        <v>premium</v>
      </c>
      <c r="E106" s="68" t="str">
        <v>counterparty</v>
      </c>
      <c r="F106" s="68" t="str">
        <v>company_b</v>
      </c>
      <c r="G106" s="67">
        <v>373906.25172234129</v>
      </c>
    </row>
    <row r="107" spans="2:7">
      <c r="B107" s="68" t="str">
        <v>level_2</v>
      </c>
      <c r="C107" s="68" t="str">
        <v>kzn</v>
      </c>
      <c r="D107" s="68" t="str">
        <v>premium</v>
      </c>
      <c r="E107" s="68" t="str">
        <v>gross charge</v>
      </c>
      <c r="F107" s="68" t="str">
        <v>gross charge</v>
      </c>
      <c r="G107" s="67">
        <v>1040083.3640095785</v>
      </c>
    </row>
    <row r="108" spans="2:7">
      <c r="B108" s="68" t="str">
        <v>level_2</v>
      </c>
      <c r="C108" s="68" t="str">
        <v>kzn</v>
      </c>
      <c r="D108" s="68" t="str">
        <v>premium</v>
      </c>
      <c r="E108" s="68" t="str">
        <v>net charge</v>
      </c>
      <c r="F108" s="68" t="str">
        <v>net charge</v>
      </c>
      <c r="G108" s="67">
        <v>1039973.578495075</v>
      </c>
    </row>
    <row r="109" spans="2:7">
      <c r="B109" s="68" t="str">
        <v>level_2</v>
      </c>
      <c r="C109" s="68" t="str">
        <v>kzn</v>
      </c>
      <c r="D109" s="68" t="str">
        <v>premium</v>
      </c>
      <c r="E109" s="68" t="str">
        <v>calculated net charge</v>
      </c>
      <c r="F109" s="68" t="str">
        <v>calculated net charge</v>
      </c>
      <c r="G109" s="67">
        <v>1040083.3640095785</v>
      </c>
    </row>
    <row r="110" spans="2:7">
      <c r="B110" s="68" t="str">
        <v>level_2</v>
      </c>
      <c r="C110" s="68" t="str">
        <v>limpopo</v>
      </c>
      <c r="D110" s="68" t="str">
        <v>premium</v>
      </c>
      <c r="E110" s="68" t="str">
        <v>gross charge</v>
      </c>
      <c r="F110" s="68" t="str">
        <v>gross charge</v>
      </c>
      <c r="G110" s="67">
        <v>5039656.4603532217</v>
      </c>
    </row>
    <row r="111" spans="2:7">
      <c r="B111" s="68" t="str">
        <v>level_2</v>
      </c>
      <c r="C111" s="68" t="str">
        <v>limpopo</v>
      </c>
      <c r="D111" s="68" t="str">
        <v>premium</v>
      </c>
      <c r="E111" s="68" t="str">
        <v>net charge</v>
      </c>
      <c r="F111" s="68" t="str">
        <v>net charge</v>
      </c>
      <c r="G111" s="67">
        <v>4688778.0248029083</v>
      </c>
    </row>
    <row r="112" spans="2:7">
      <c r="B112" s="68" t="str">
        <v>level_2</v>
      </c>
      <c r="C112" s="68" t="str">
        <v>limpopo</v>
      </c>
      <c r="D112" s="68" t="str">
        <v>premium</v>
      </c>
      <c r="E112" s="68" t="str">
        <v>calculated net charge</v>
      </c>
      <c r="F112" s="68" t="str">
        <v>calculated net charge</v>
      </c>
      <c r="G112" s="67">
        <v>4711861.4385210993</v>
      </c>
    </row>
    <row r="113" spans="2:7">
      <c r="B113" s="68" t="str">
        <v>level_2</v>
      </c>
      <c r="C113" s="68" t="str">
        <v>limpopo</v>
      </c>
      <c r="D113" s="68" t="str">
        <v>premium</v>
      </c>
      <c r="E113" s="68" t="str">
        <v>counterparty</v>
      </c>
      <c r="F113" s="68" t="str">
        <v>company_b</v>
      </c>
      <c r="G113" s="67">
        <v>116106.8177097505</v>
      </c>
    </row>
    <row r="114" spans="2:7">
      <c r="B114" s="68" t="str">
        <v>level_2</v>
      </c>
      <c r="C114" s="68" t="str">
        <v>limpopo</v>
      </c>
      <c r="D114" s="68" t="str">
        <v>premium</v>
      </c>
      <c r="E114" s="68" t="str">
        <v>counterparty</v>
      </c>
      <c r="F114" s="68" t="str">
        <v>company_c</v>
      </c>
      <c r="G114" s="67">
        <v>209780.86036545038</v>
      </c>
    </row>
    <row r="115" spans="2:7">
      <c r="B115" s="68" t="str">
        <v>level_2</v>
      </c>
      <c r="C115" s="68" t="str">
        <v>north west</v>
      </c>
      <c r="D115" s="68" t="str">
        <v>premium</v>
      </c>
      <c r="E115" s="68" t="str">
        <v>gross charge</v>
      </c>
      <c r="F115" s="68" t="str">
        <v>gross charge</v>
      </c>
      <c r="G115" s="67">
        <v>4872830.3613621136</v>
      </c>
    </row>
    <row r="116" spans="2:7">
      <c r="B116" s="68" t="str">
        <v>level_2</v>
      </c>
      <c r="C116" s="68" t="str">
        <v>north west</v>
      </c>
      <c r="D116" s="68" t="str">
        <v>premium</v>
      </c>
      <c r="E116" s="68" t="str">
        <v>net charge</v>
      </c>
      <c r="F116" s="68" t="str">
        <v>net charge</v>
      </c>
      <c r="G116" s="67">
        <v>3946558.5669142851</v>
      </c>
    </row>
    <row r="117" spans="2:7">
      <c r="B117" s="68" t="str">
        <v>level_2</v>
      </c>
      <c r="C117" s="68" t="str">
        <v>north west</v>
      </c>
      <c r="D117" s="68" t="str">
        <v>premium</v>
      </c>
      <c r="E117" s="68" t="str">
        <v>calculated net charge</v>
      </c>
      <c r="F117" s="68" t="str">
        <v>calculated net charge</v>
      </c>
      <c r="G117" s="67">
        <v>4032330.86357853</v>
      </c>
    </row>
    <row r="118" spans="2:7">
      <c r="B118" s="68" t="str">
        <v>level_2</v>
      </c>
      <c r="C118" s="68" t="str">
        <v>north west</v>
      </c>
      <c r="D118" s="68" t="str">
        <v>premium</v>
      </c>
      <c r="E118" s="68" t="str">
        <v>counterparty</v>
      </c>
      <c r="F118" s="68" t="str">
        <v>company_a</v>
      </c>
      <c r="G118" s="67">
        <v>453059.84546215832</v>
      </c>
    </row>
    <row r="119" spans="2:7">
      <c r="B119" s="68" t="str">
        <v>level_2</v>
      </c>
      <c r="C119" s="68" t="str">
        <v>north west</v>
      </c>
      <c r="D119" s="68" t="str">
        <v>premium</v>
      </c>
      <c r="E119" s="68" t="str">
        <v>counterparty</v>
      </c>
      <c r="F119" s="68" t="str">
        <v>company_b</v>
      </c>
      <c r="G119" s="67">
        <v>359375.77479101717</v>
      </c>
    </row>
    <row r="120" spans="2:7">
      <c r="B120" s="68" t="str">
        <v>level_2</v>
      </c>
      <c r="C120" s="68" t="str">
        <v>eastern cape</v>
      </c>
      <c r="D120" s="68" t="str">
        <v>premium</v>
      </c>
      <c r="E120" s="68" t="str">
        <v>gross charge</v>
      </c>
      <c r="F120" s="68" t="str">
        <v>gross charge</v>
      </c>
      <c r="G120" s="67">
        <v>2127558.1265595895</v>
      </c>
    </row>
    <row r="121" spans="2:7">
      <c r="B121" s="68" t="str">
        <v>level_2</v>
      </c>
      <c r="C121" s="68" t="str">
        <v>eastern cape</v>
      </c>
      <c r="D121" s="68" t="str">
        <v>premium</v>
      </c>
      <c r="E121" s="68" t="str">
        <v>net charge</v>
      </c>
      <c r="F121" s="68" t="str">
        <v>net charge</v>
      </c>
      <c r="G121" s="67">
        <v>1983818.8876473857</v>
      </c>
    </row>
    <row r="122" spans="2:7">
      <c r="B122" s="68" t="str">
        <v>level_2</v>
      </c>
      <c r="C122" s="68" t="str">
        <v>eastern cape</v>
      </c>
      <c r="D122" s="68" t="str">
        <v>premium</v>
      </c>
      <c r="E122" s="68" t="str">
        <v>calculated net charge</v>
      </c>
      <c r="F122" s="68" t="str">
        <v>calculated net charge</v>
      </c>
      <c r="G122" s="67">
        <v>1993206.0317080147</v>
      </c>
    </row>
    <row r="123" spans="2:7">
      <c r="B123" s="68" t="str">
        <v>level_2</v>
      </c>
      <c r="C123" s="68" t="str">
        <v>eastern cape</v>
      </c>
      <c r="D123" s="68" t="str">
        <v>premium</v>
      </c>
      <c r="E123" s="68" t="str">
        <v>counterparty</v>
      </c>
      <c r="F123" s="68" t="str">
        <v>company_b</v>
      </c>
      <c r="G123" s="67">
        <v>47372.188649348449</v>
      </c>
    </row>
    <row r="124" spans="2:7">
      <c r="B124" s="68" t="str">
        <v>level_2</v>
      </c>
      <c r="C124" s="68" t="str">
        <v>eastern cape</v>
      </c>
      <c r="D124" s="68" t="str">
        <v>premium</v>
      </c>
      <c r="E124" s="68" t="str">
        <v>counterparty</v>
      </c>
      <c r="F124" s="68" t="str">
        <v>company_c</v>
      </c>
      <c r="G124" s="67">
        <v>85769.777533601504</v>
      </c>
    </row>
    <row r="125" spans="2:7">
      <c r="B125" s="68" t="str">
        <v>level_2</v>
      </c>
      <c r="C125" s="68" t="str">
        <v>free state</v>
      </c>
      <c r="D125" s="68" t="str">
        <v>premium</v>
      </c>
      <c r="E125" s="68" t="str">
        <v>gross charge</v>
      </c>
      <c r="F125" s="68" t="str">
        <v>gross charge</v>
      </c>
      <c r="G125" s="67">
        <v>3765300.5782548334</v>
      </c>
    </row>
    <row r="126" spans="2:7">
      <c r="B126" s="68" t="str">
        <v>level_2</v>
      </c>
      <c r="C126" s="68" t="str">
        <v>free state</v>
      </c>
      <c r="D126" s="68" t="str">
        <v>premium</v>
      </c>
      <c r="E126" s="68" t="str">
        <v>net charge</v>
      </c>
      <c r="F126" s="68" t="str">
        <v>net charge</v>
      </c>
      <c r="G126" s="67">
        <v>3217267.6336595435</v>
      </c>
    </row>
    <row r="127" spans="2:7">
      <c r="B127" s="68" t="str">
        <v>level_2</v>
      </c>
      <c r="C127" s="68" t="str">
        <v>free state</v>
      </c>
      <c r="D127" s="68" t="str">
        <v>premium</v>
      </c>
      <c r="E127" s="68" t="str">
        <v>calculated net charge</v>
      </c>
      <c r="F127" s="68" t="str">
        <v>calculated net charge</v>
      </c>
      <c r="G127" s="67">
        <v>3265753.6984897968</v>
      </c>
    </row>
    <row r="128" spans="2:7">
      <c r="B128" s="68" t="str">
        <v>level_2</v>
      </c>
      <c r="C128" s="68" t="str">
        <v>free state</v>
      </c>
      <c r="D128" s="68" t="str">
        <v>premium</v>
      </c>
      <c r="E128" s="68" t="str">
        <v>counterparty</v>
      </c>
      <c r="F128" s="68" t="str">
        <v>company_a</v>
      </c>
      <c r="G128" s="67">
        <v>213686.01215307042</v>
      </c>
    </row>
    <row r="129" spans="2:7">
      <c r="B129" s="68" t="str">
        <v>level_2</v>
      </c>
      <c r="C129" s="68" t="str">
        <v>free state</v>
      </c>
      <c r="D129" s="68" t="str">
        <v>premium</v>
      </c>
      <c r="E129" s="68" t="str">
        <v>counterparty</v>
      </c>
      <c r="F129" s="68" t="str">
        <v>company_b</v>
      </c>
      <c r="G129" s="67">
        <v>207527.54743978567</v>
      </c>
    </row>
    <row r="130" spans="2:7">
      <c r="B130" s="68" t="str">
        <v>level_2</v>
      </c>
      <c r="C130" s="68" t="str">
        <v>free state</v>
      </c>
      <c r="D130" s="68" t="str">
        <v>premium</v>
      </c>
      <c r="E130" s="68" t="str">
        <v>counterparty</v>
      </c>
      <c r="F130" s="68" t="str">
        <v>company_c</v>
      </c>
      <c r="G130" s="67">
        <v>69856.139206512365</v>
      </c>
    </row>
    <row r="131" spans="2:7">
      <c r="B131" s="68" t="str">
        <v>level_2</v>
      </c>
      <c r="C131" s="68" t="str">
        <v>northern cape</v>
      </c>
      <c r="D131" s="68" t="str">
        <v>premium</v>
      </c>
      <c r="E131" s="68" t="str">
        <v>gross charge</v>
      </c>
      <c r="F131" s="68" t="str">
        <v>gross charge</v>
      </c>
      <c r="G131" s="67">
        <v>4348944.7316447366</v>
      </c>
    </row>
    <row r="132" spans="2:7">
      <c r="B132" s="68" t="str">
        <v>level_2</v>
      </c>
      <c r="C132" s="68" t="str">
        <v>northern cape</v>
      </c>
      <c r="D132" s="68" t="str">
        <v>premium</v>
      </c>
      <c r="E132" s="68" t="str">
        <v>net charge</v>
      </c>
      <c r="F132" s="68" t="str">
        <v>net charge</v>
      </c>
      <c r="G132" s="67">
        <v>4068390.9801884196</v>
      </c>
    </row>
    <row r="133" spans="2:7">
      <c r="B133" s="68" t="str">
        <v>level_2</v>
      </c>
      <c r="C133" s="68" t="str">
        <v>northern cape</v>
      </c>
      <c r="D133" s="68" t="str">
        <v>premium</v>
      </c>
      <c r="E133" s="68" t="str">
        <v>calculated net charge</v>
      </c>
      <c r="F133" s="68" t="str">
        <v>calculated net charge</v>
      </c>
      <c r="G133" s="67">
        <v>4025146.1763260402</v>
      </c>
    </row>
    <row r="134" spans="2:7">
      <c r="B134" s="68" t="str">
        <v>level_2</v>
      </c>
      <c r="C134" s="68" t="str">
        <v>northern cape</v>
      </c>
      <c r="D134" s="68" t="str">
        <v>premium</v>
      </c>
      <c r="E134" s="68" t="str">
        <v>counterparty</v>
      </c>
      <c r="F134" s="68" t="str">
        <v>company_a</v>
      </c>
      <c r="G134" s="67">
        <v>173187.99274813477</v>
      </c>
    </row>
    <row r="135" spans="2:7">
      <c r="B135" s="68" t="str">
        <v>level_2</v>
      </c>
      <c r="C135" s="68" t="str">
        <v>northern cape</v>
      </c>
      <c r="D135" s="68" t="str">
        <v>premium</v>
      </c>
      <c r="E135" s="68" t="str">
        <v>counterparty</v>
      </c>
      <c r="F135" s="68" t="str">
        <v>company_b</v>
      </c>
      <c r="G135" s="67">
        <v>137152.4623648636</v>
      </c>
    </row>
    <row r="136" spans="2:7">
      <c r="B136" s="68" t="str">
        <v>level_2</v>
      </c>
      <c r="C136" s="68" t="str">
        <v>western cape</v>
      </c>
      <c r="D136" s="68" t="str">
        <v>premium</v>
      </c>
      <c r="E136" s="68" t="str">
        <v>gross charge</v>
      </c>
      <c r="F136" s="68" t="str">
        <v>gross charge</v>
      </c>
      <c r="G136" s="67">
        <v>3152479.5487955636</v>
      </c>
    </row>
    <row r="137" spans="2:7">
      <c r="B137" s="68" t="str">
        <v>level_2</v>
      </c>
      <c r="C137" s="68" t="str">
        <v>western cape</v>
      </c>
      <c r="D137" s="68" t="str">
        <v>premium</v>
      </c>
      <c r="E137" s="68" t="str">
        <v>net charge</v>
      </c>
      <c r="F137" s="68" t="str">
        <v>net charge</v>
      </c>
      <c r="G137" s="67">
        <v>2875875.569556213</v>
      </c>
    </row>
    <row r="138" spans="2:7">
      <c r="B138" s="68" t="str">
        <v>level_2</v>
      </c>
      <c r="C138" s="68" t="str">
        <v>western cape</v>
      </c>
      <c r="D138" s="68" t="str">
        <v>premium</v>
      </c>
      <c r="E138" s="68" t="str">
        <v>calculated net charge</v>
      </c>
      <c r="F138" s="68" t="str">
        <v>calculated net charge</v>
      </c>
      <c r="G138" s="67">
        <v>2526574.5207635891</v>
      </c>
    </row>
    <row r="139" spans="2:7">
      <c r="B139" s="68" t="str">
        <v>level_2</v>
      </c>
      <c r="C139" s="68" t="str">
        <v>western cape</v>
      </c>
      <c r="D139" s="68" t="str">
        <v>premium</v>
      </c>
      <c r="E139" s="68" t="str">
        <v>counterparty</v>
      </c>
      <c r="F139" s="68" t="str">
        <v>company_a</v>
      </c>
      <c r="G139" s="67">
        <v>230311.21668285318</v>
      </c>
    </row>
    <row r="140" spans="2:7">
      <c r="B140" s="68" t="str">
        <v>level_2</v>
      </c>
      <c r="C140" s="68" t="str">
        <v>western cape</v>
      </c>
      <c r="D140" s="68" t="str">
        <v>premium</v>
      </c>
      <c r="E140" s="68" t="str">
        <v>counterparty</v>
      </c>
      <c r="F140" s="68" t="str">
        <v>company_b</v>
      </c>
      <c r="G140" s="67">
        <v>254329.24085951457</v>
      </c>
    </row>
    <row r="141" spans="2:7">
      <c r="B141" s="68" t="str">
        <v>level_2</v>
      </c>
      <c r="C141" s="68" t="str">
        <v>western cape</v>
      </c>
      <c r="D141" s="68" t="str">
        <v>premium</v>
      </c>
      <c r="E141" s="68" t="str">
        <v>counterparty</v>
      </c>
      <c r="F141" s="68" t="str">
        <v>company_c</v>
      </c>
      <c r="G141" s="67">
        <v>134008.24551120913</v>
      </c>
    </row>
    <row r="142" spans="2:7">
      <c r="B142" s="68" t="str">
        <v>__overall__</v>
      </c>
      <c r="C142" s="68" t="str">
        <v>__overall__</v>
      </c>
      <c r="D142" s="68" t="str">
        <v>reserve</v>
      </c>
      <c r="E142" s="68" t="str">
        <v>gross charge</v>
      </c>
      <c r="F142" s="68" t="str">
        <v>gross charge</v>
      </c>
      <c r="G142" s="67">
        <v>8348933.314350022</v>
      </c>
    </row>
    <row r="143" spans="2:7">
      <c r="B143" s="68" t="str">
        <v>__overall__</v>
      </c>
      <c r="C143" s="68" t="str">
        <v>__overall__</v>
      </c>
      <c r="D143" s="68" t="str">
        <v>reserve</v>
      </c>
      <c r="E143" s="68" t="str">
        <v>net charge</v>
      </c>
      <c r="F143" s="68" t="str">
        <v>net charge</v>
      </c>
      <c r="G143" s="67">
        <v>6952944.639422195</v>
      </c>
    </row>
    <row r="144" spans="2:7">
      <c r="B144" s="68" t="str">
        <v>__overall__</v>
      </c>
      <c r="C144" s="68" t="str">
        <v>__overall__</v>
      </c>
      <c r="D144" s="68" t="str">
        <v>reserve</v>
      </c>
      <c r="E144" s="68" t="str">
        <v>calculated net charge</v>
      </c>
      <c r="F144" s="68" t="str">
        <v>calculated net charge</v>
      </c>
      <c r="G144" s="67">
        <v>7080460.6933393553</v>
      </c>
    </row>
    <row r="145" spans="2:7">
      <c r="B145" s="68" t="str">
        <v>__overall__</v>
      </c>
      <c r="C145" s="68" t="str">
        <v>__overall__</v>
      </c>
      <c r="D145" s="68" t="str">
        <v>reserve</v>
      </c>
      <c r="E145" s="68" t="str">
        <v>counterparty</v>
      </c>
      <c r="F145" s="68" t="str">
        <v>company_a</v>
      </c>
      <c r="G145" s="67">
        <v>542018.91335697845</v>
      </c>
    </row>
    <row r="146" spans="2:7">
      <c r="B146" s="68" t="str">
        <v>__overall__</v>
      </c>
      <c r="C146" s="68" t="str">
        <v>__overall__</v>
      </c>
      <c r="D146" s="68" t="str">
        <v>reserve</v>
      </c>
      <c r="E146" s="68" t="str">
        <v>counterparty</v>
      </c>
      <c r="F146" s="68" t="str">
        <v>company_b</v>
      </c>
      <c r="G146" s="67">
        <v>535085.0132117169</v>
      </c>
    </row>
    <row r="147" spans="2:7">
      <c r="B147" s="68" t="str">
        <v>__overall__</v>
      </c>
      <c r="C147" s="68" t="str">
        <v>__overall__</v>
      </c>
      <c r="D147" s="68" t="str">
        <v>reserve</v>
      </c>
      <c r="E147" s="68" t="str">
        <v>counterparty</v>
      </c>
      <c r="F147" s="68" t="str">
        <v>company_c</v>
      </c>
      <c r="G147" s="67">
        <v>185786.43910978548</v>
      </c>
    </row>
    <row r="148" spans="2:7">
      <c r="B148" s="68" t="str">
        <v>level_1</v>
      </c>
      <c r="C148" s="68" t="str">
        <v>direct</v>
      </c>
      <c r="D148" s="68" t="str">
        <v>reserve</v>
      </c>
      <c r="E148" s="68" t="str">
        <v>gross charge</v>
      </c>
      <c r="F148" s="68" t="str">
        <v>gross charge</v>
      </c>
      <c r="G148" s="67">
        <v>4189174.4311242467</v>
      </c>
    </row>
    <row r="149" spans="2:7">
      <c r="B149" s="68" t="str">
        <v>level_1</v>
      </c>
      <c r="C149" s="68" t="str">
        <v>direct</v>
      </c>
      <c r="D149" s="68" t="str">
        <v>reserve</v>
      </c>
      <c r="E149" s="68" t="str">
        <v>net charge</v>
      </c>
      <c r="F149" s="68" t="str">
        <v>net charge</v>
      </c>
      <c r="G149" s="67">
        <v>3736552.4817765839</v>
      </c>
    </row>
    <row r="150" spans="2:7">
      <c r="B150" s="68" t="str">
        <v>level_1</v>
      </c>
      <c r="C150" s="68" t="str">
        <v>direct</v>
      </c>
      <c r="D150" s="68" t="str">
        <v>reserve</v>
      </c>
      <c r="E150" s="68" t="str">
        <v>calculated net charge</v>
      </c>
      <c r="F150" s="68" t="str">
        <v>calculated net charge</v>
      </c>
      <c r="G150" s="67">
        <v>3775510.9488528189</v>
      </c>
    </row>
    <row r="151" spans="2:7">
      <c r="B151" s="68" t="str">
        <v>level_1</v>
      </c>
      <c r="C151" s="68" t="str">
        <v>direct</v>
      </c>
      <c r="D151" s="68" t="str">
        <v>reserve</v>
      </c>
      <c r="E151" s="68" t="str">
        <v>counterparty</v>
      </c>
      <c r="F151" s="68" t="str">
        <v>company_a</v>
      </c>
      <c r="G151" s="67">
        <v>142715.6140203909</v>
      </c>
    </row>
    <row r="152" spans="2:7">
      <c r="B152" s="68" t="str">
        <v>level_1</v>
      </c>
      <c r="C152" s="68" t="str">
        <v>direct</v>
      </c>
      <c r="D152" s="68" t="str">
        <v>reserve</v>
      </c>
      <c r="E152" s="68" t="str">
        <v>counterparty</v>
      </c>
      <c r="F152" s="68" t="str">
        <v>company_b</v>
      </c>
      <c r="G152" s="67">
        <v>168706.41747342004</v>
      </c>
    </row>
    <row r="153" spans="2:7">
      <c r="B153" s="68" t="str">
        <v>level_1</v>
      </c>
      <c r="C153" s="68" t="str">
        <v>direct</v>
      </c>
      <c r="D153" s="68" t="str">
        <v>reserve</v>
      </c>
      <c r="E153" s="68" t="str">
        <v>counterparty</v>
      </c>
      <c r="F153" s="68" t="str">
        <v>company_c</v>
      </c>
      <c r="G153" s="67">
        <v>99632.113174575381</v>
      </c>
    </row>
    <row r="154" spans="2:7">
      <c r="B154" s="68" t="str">
        <v>level_1</v>
      </c>
      <c r="C154" s="68" t="str">
        <v>intermediated</v>
      </c>
      <c r="D154" s="68" t="str">
        <v>reserve</v>
      </c>
      <c r="E154" s="68" t="str">
        <v>gross charge</v>
      </c>
      <c r="F154" s="68" t="str">
        <v>gross charge</v>
      </c>
      <c r="G154" s="67">
        <v>1588930.1932599782</v>
      </c>
    </row>
    <row r="155" spans="2:7">
      <c r="B155" s="68" t="str">
        <v>level_1</v>
      </c>
      <c r="C155" s="68" t="str">
        <v>intermediated</v>
      </c>
      <c r="D155" s="68" t="str">
        <v>reserve</v>
      </c>
      <c r="E155" s="68" t="str">
        <v>net charge</v>
      </c>
      <c r="F155" s="68" t="str">
        <v>net charge</v>
      </c>
      <c r="G155" s="67">
        <v>1093290.552658394</v>
      </c>
    </row>
    <row r="156" spans="2:7">
      <c r="B156" s="68" t="str">
        <v>level_1</v>
      </c>
      <c r="C156" s="68" t="str">
        <v>intermediated</v>
      </c>
      <c r="D156" s="68" t="str">
        <v>reserve</v>
      </c>
      <c r="E156" s="68" t="str">
        <v>calculated net charge</v>
      </c>
      <c r="F156" s="68" t="str">
        <v>calculated net charge</v>
      </c>
      <c r="G156" s="67">
        <v>1138322.5655842416</v>
      </c>
    </row>
    <row r="157" spans="2:7">
      <c r="B157" s="68" t="str">
        <v>level_1</v>
      </c>
      <c r="C157" s="68" t="str">
        <v>intermediated</v>
      </c>
      <c r="D157" s="68" t="str">
        <v>reserve</v>
      </c>
      <c r="E157" s="68" t="str">
        <v>counterparty</v>
      </c>
      <c r="F157" s="68" t="str">
        <v>company_a</v>
      </c>
      <c r="G157" s="67">
        <v>213571.96596788056</v>
      </c>
    </row>
    <row r="158" spans="2:7">
      <c r="B158" s="68" t="str">
        <v>level_1</v>
      </c>
      <c r="C158" s="68" t="str">
        <v>intermediated</v>
      </c>
      <c r="D158" s="68" t="str">
        <v>reserve</v>
      </c>
      <c r="E158" s="68" t="str">
        <v>counterparty</v>
      </c>
      <c r="F158" s="68" t="str">
        <v>company_b</v>
      </c>
      <c r="G158" s="67">
        <v>190937.76689279196</v>
      </c>
    </row>
    <row r="159" spans="2:7">
      <c r="B159" s="68" t="str">
        <v>level_1</v>
      </c>
      <c r="C159" s="68" t="str">
        <v>intermediated</v>
      </c>
      <c r="D159" s="68" t="str">
        <v>reserve</v>
      </c>
      <c r="E159" s="68" t="str">
        <v>counterparty</v>
      </c>
      <c r="F159" s="68" t="str">
        <v>company_c</v>
      </c>
      <c r="G159" s="67">
        <v>41038.739442195976</v>
      </c>
    </row>
    <row r="160" spans="2:7">
      <c r="B160" s="68" t="str">
        <v>level_1</v>
      </c>
      <c r="C160" s="68" t="str">
        <v>partnerships</v>
      </c>
      <c r="D160" s="68" t="str">
        <v>reserve</v>
      </c>
      <c r="E160" s="68" t="str">
        <v>gross charge</v>
      </c>
      <c r="F160" s="68" t="str">
        <v>gross charge</v>
      </c>
      <c r="G160" s="67">
        <v>201761.33670000001</v>
      </c>
    </row>
    <row r="161" spans="2:7">
      <c r="B161" s="68" t="str">
        <v>level_1</v>
      </c>
      <c r="C161" s="68" t="str">
        <v>partnerships</v>
      </c>
      <c r="D161" s="68" t="str">
        <v>reserve</v>
      </c>
      <c r="E161" s="68" t="str">
        <v>net charge</v>
      </c>
      <c r="F161" s="68" t="str">
        <v>net charge</v>
      </c>
      <c r="G161" s="67">
        <v>201761.33670000001</v>
      </c>
    </row>
    <row r="162" spans="2:7">
      <c r="B162" s="68" t="str">
        <v>level_1</v>
      </c>
      <c r="C162" s="68" t="str">
        <v>partnerships</v>
      </c>
      <c r="D162" s="68" t="str">
        <v>reserve</v>
      </c>
      <c r="E162" s="68" t="str">
        <v>calculated net charge</v>
      </c>
      <c r="F162" s="68" t="str">
        <v>calculated net charge</v>
      </c>
      <c r="G162" s="67">
        <v>201761.33670000001</v>
      </c>
    </row>
    <row r="163" spans="2:7">
      <c r="B163" s="68" t="str">
        <v>level_1</v>
      </c>
      <c r="C163" s="68" t="str">
        <v>specialised</v>
      </c>
      <c r="D163" s="68" t="str">
        <v>reserve</v>
      </c>
      <c r="E163" s="68" t="str">
        <v>gross charge</v>
      </c>
      <c r="F163" s="68" t="str">
        <v>gross charge</v>
      </c>
      <c r="G163" s="67">
        <v>3034129.9573273254</v>
      </c>
    </row>
    <row r="164" spans="2:7">
      <c r="B164" s="68" t="str">
        <v>level_1</v>
      </c>
      <c r="C164" s="68" t="str">
        <v>specialised</v>
      </c>
      <c r="D164" s="68" t="str">
        <v>reserve</v>
      </c>
      <c r="E164" s="68" t="str">
        <v>net charge</v>
      </c>
      <c r="F164" s="68" t="str">
        <v>net charge</v>
      </c>
      <c r="G164" s="67">
        <v>2455405.5779135581</v>
      </c>
    </row>
    <row r="165" spans="2:7">
      <c r="B165" s="68" t="str">
        <v>level_1</v>
      </c>
      <c r="C165" s="68" t="str">
        <v>specialised</v>
      </c>
      <c r="D165" s="68" t="str">
        <v>reserve</v>
      </c>
      <c r="E165" s="68" t="str">
        <v>calculated net charge</v>
      </c>
      <c r="F165" s="68" t="str">
        <v>calculated net charge</v>
      </c>
      <c r="G165" s="67">
        <v>2507018.5387761025</v>
      </c>
    </row>
    <row r="166" spans="2:7">
      <c r="B166" s="68" t="str">
        <v>level_1</v>
      </c>
      <c r="C166" s="68" t="str">
        <v>specialised</v>
      </c>
      <c r="D166" s="68" t="str">
        <v>reserve</v>
      </c>
      <c r="E166" s="68" t="str">
        <v>counterparty</v>
      </c>
      <c r="F166" s="68" t="str">
        <v>company_a</v>
      </c>
      <c r="G166" s="67">
        <v>235844.10092952661</v>
      </c>
    </row>
    <row r="167" spans="2:7">
      <c r="B167" s="68" t="str">
        <v>level_1</v>
      </c>
      <c r="C167" s="68" t="str">
        <v>specialised</v>
      </c>
      <c r="D167" s="68" t="str">
        <v>reserve</v>
      </c>
      <c r="E167" s="68" t="str">
        <v>counterparty</v>
      </c>
      <c r="F167" s="68" t="str">
        <v>company_b</v>
      </c>
      <c r="G167" s="67">
        <v>220388.08140829438</v>
      </c>
    </row>
    <row r="168" spans="2:7">
      <c r="B168" s="68" t="str">
        <v>level_1</v>
      </c>
      <c r="C168" s="68" t="str">
        <v>specialised</v>
      </c>
      <c r="D168" s="68" t="str">
        <v>reserve</v>
      </c>
      <c r="E168" s="68" t="str">
        <v>counterparty</v>
      </c>
      <c r="F168" s="68" t="str">
        <v>company_c</v>
      </c>
      <c r="G168" s="67">
        <v>61224.765188174788</v>
      </c>
    </row>
    <row r="169" spans="2:7">
      <c r="B169" s="68" t="str">
        <v>level_2</v>
      </c>
      <c r="C169" s="68" t="str">
        <v>gauteng</v>
      </c>
      <c r="D169" s="68" t="str">
        <v>reserve</v>
      </c>
      <c r="E169" s="68" t="str">
        <v>gross charge</v>
      </c>
      <c r="F169" s="68" t="str">
        <v>gross charge</v>
      </c>
      <c r="G169" s="67">
        <v>578086.5970245793</v>
      </c>
    </row>
    <row r="170" spans="2:7">
      <c r="B170" s="68" t="str">
        <v>level_2</v>
      </c>
      <c r="C170" s="68" t="str">
        <v>gauteng</v>
      </c>
      <c r="D170" s="68" t="str">
        <v>reserve</v>
      </c>
      <c r="E170" s="68" t="str">
        <v>net charge</v>
      </c>
      <c r="F170" s="68" t="str">
        <v>net charge</v>
      </c>
      <c r="G170" s="67">
        <v>289043.29851228965</v>
      </c>
    </row>
    <row r="171" spans="2:7">
      <c r="B171" s="68" t="str">
        <v>level_2</v>
      </c>
      <c r="C171" s="68" t="str">
        <v>gauteng</v>
      </c>
      <c r="D171" s="68" t="str">
        <v>reserve</v>
      </c>
      <c r="E171" s="68" t="str">
        <v>calculated net charge</v>
      </c>
      <c r="F171" s="68" t="str">
        <v>calculated net charge</v>
      </c>
      <c r="G171" s="67">
        <v>317947.62836351863</v>
      </c>
    </row>
    <row r="172" spans="2:7">
      <c r="B172" s="68" t="str">
        <v>level_2</v>
      </c>
      <c r="C172" s="68" t="str">
        <v>gauteng</v>
      </c>
      <c r="D172" s="68" t="str">
        <v>reserve</v>
      </c>
      <c r="E172" s="68" t="str">
        <v>counterparty</v>
      </c>
      <c r="F172" s="68" t="str">
        <v>company_a</v>
      </c>
      <c r="G172" s="67">
        <v>144521.64925614488</v>
      </c>
    </row>
    <row r="173" spans="2:7">
      <c r="B173" s="68" t="str">
        <v>level_2</v>
      </c>
      <c r="C173" s="68" t="str">
        <v>gauteng</v>
      </c>
      <c r="D173" s="68" t="str">
        <v>reserve</v>
      </c>
      <c r="E173" s="68" t="str">
        <v>counterparty</v>
      </c>
      <c r="F173" s="68" t="str">
        <v>company_b</v>
      </c>
      <c r="G173" s="67">
        <v>115617.31940491585</v>
      </c>
    </row>
    <row r="174" spans="2:7">
      <c r="B174" s="68" t="str">
        <v>level_2</v>
      </c>
      <c r="C174" s="68" t="str">
        <v>kzn</v>
      </c>
      <c r="D174" s="68" t="str">
        <v>reserve</v>
      </c>
      <c r="E174" s="68" t="str">
        <v>gross charge</v>
      </c>
      <c r="F174" s="68" t="str">
        <v>gross charge</v>
      </c>
      <c r="G174" s="67">
        <v>301841.24378533068</v>
      </c>
    </row>
    <row r="175" spans="2:7">
      <c r="B175" s="68" t="str">
        <v>level_2</v>
      </c>
      <c r="C175" s="68" t="str">
        <v>kzn</v>
      </c>
      <c r="D175" s="68" t="str">
        <v>reserve</v>
      </c>
      <c r="E175" s="68" t="str">
        <v>net charge</v>
      </c>
      <c r="F175" s="68" t="str">
        <v>net charge</v>
      </c>
      <c r="G175" s="67">
        <v>301841.24378533068</v>
      </c>
    </row>
    <row r="176" spans="2:7">
      <c r="B176" s="68" t="str">
        <v>level_2</v>
      </c>
      <c r="C176" s="68" t="str">
        <v>kzn</v>
      </c>
      <c r="D176" s="68" t="str">
        <v>reserve</v>
      </c>
      <c r="E176" s="68" t="str">
        <v>calculated net charge</v>
      </c>
      <c r="F176" s="68" t="str">
        <v>calculated net charge</v>
      </c>
      <c r="G176" s="67">
        <v>301841.24378533068</v>
      </c>
    </row>
    <row r="177" spans="2:7">
      <c r="B177" s="68" t="str">
        <v>level_2</v>
      </c>
      <c r="C177" s="68" t="str">
        <v>limpopo</v>
      </c>
      <c r="D177" s="68" t="str">
        <v>reserve</v>
      </c>
      <c r="E177" s="68" t="str">
        <v>gross charge</v>
      </c>
      <c r="F177" s="68" t="str">
        <v>gross charge</v>
      </c>
      <c r="G177" s="67">
        <v>1720299.7698258434</v>
      </c>
    </row>
    <row r="178" spans="2:7">
      <c r="B178" s="68" t="str">
        <v>level_2</v>
      </c>
      <c r="C178" s="68" t="str">
        <v>limpopo</v>
      </c>
      <c r="D178" s="68" t="str">
        <v>reserve</v>
      </c>
      <c r="E178" s="68" t="str">
        <v>net charge</v>
      </c>
      <c r="F178" s="68" t="str">
        <v>net charge</v>
      </c>
      <c r="G178" s="67">
        <v>1585929.9032224701</v>
      </c>
    </row>
    <row r="179" spans="2:7">
      <c r="B179" s="68" t="str">
        <v>level_2</v>
      </c>
      <c r="C179" s="68" t="str">
        <v>limpopo</v>
      </c>
      <c r="D179" s="68" t="str">
        <v>reserve</v>
      </c>
      <c r="E179" s="68" t="str">
        <v>calculated net charge</v>
      </c>
      <c r="F179" s="68" t="str">
        <v>calculated net charge</v>
      </c>
      <c r="G179" s="67">
        <v>1594785.1947030118</v>
      </c>
    </row>
    <row r="180" spans="2:7">
      <c r="B180" s="68" t="str">
        <v>level_2</v>
      </c>
      <c r="C180" s="68" t="str">
        <v>limpopo</v>
      </c>
      <c r="D180" s="68" t="str">
        <v>reserve</v>
      </c>
      <c r="E180" s="68" t="str">
        <v>counterparty</v>
      </c>
      <c r="F180" s="68" t="str">
        <v>company_b</v>
      </c>
      <c r="G180" s="67">
        <v>44507.315890196478</v>
      </c>
    </row>
    <row r="181" spans="2:7">
      <c r="B181" s="68" t="str">
        <v>level_2</v>
      </c>
      <c r="C181" s="68" t="str">
        <v>limpopo</v>
      </c>
      <c r="D181" s="68" t="str">
        <v>reserve</v>
      </c>
      <c r="E181" s="68" t="str">
        <v>counterparty</v>
      </c>
      <c r="F181" s="68" t="str">
        <v>company_c</v>
      </c>
      <c r="G181" s="67">
        <v>80375.458942173049</v>
      </c>
    </row>
    <row r="182" spans="2:7">
      <c r="B182" s="68" t="str">
        <v>level_2</v>
      </c>
      <c r="C182" s="68" t="str">
        <v>north west</v>
      </c>
      <c r="D182" s="68" t="str">
        <v>reserve</v>
      </c>
      <c r="E182" s="68" t="str">
        <v>gross charge</v>
      </c>
      <c r="F182" s="68" t="str">
        <v>gross charge</v>
      </c>
      <c r="G182" s="67">
        <v>1685290.9192192103</v>
      </c>
    </row>
    <row r="183" spans="2:7">
      <c r="B183" s="68" t="str">
        <v>level_2</v>
      </c>
      <c r="C183" s="68" t="str">
        <v>north west</v>
      </c>
      <c r="D183" s="68" t="str">
        <v>reserve</v>
      </c>
      <c r="E183" s="68" t="str">
        <v>net charge</v>
      </c>
      <c r="F183" s="68" t="str">
        <v>net charge</v>
      </c>
      <c r="G183" s="67">
        <v>1327861.4670349215</v>
      </c>
    </row>
    <row r="184" spans="2:7">
      <c r="B184" s="68" t="str">
        <v>level_2</v>
      </c>
      <c r="C184" s="68" t="str">
        <v>north west</v>
      </c>
      <c r="D184" s="68" t="str">
        <v>reserve</v>
      </c>
      <c r="E184" s="68" t="str">
        <v>calculated net charge</v>
      </c>
      <c r="F184" s="68" t="str">
        <v>calculated net charge</v>
      </c>
      <c r="G184" s="67">
        <v>1360981.9501292994</v>
      </c>
    </row>
    <row r="185" spans="2:7">
      <c r="B185" s="68" t="str">
        <v>level_2</v>
      </c>
      <c r="C185" s="68" t="str">
        <v>north west</v>
      </c>
      <c r="D185" s="68" t="str">
        <v>reserve</v>
      </c>
      <c r="E185" s="68" t="str">
        <v>counterparty</v>
      </c>
      <c r="F185" s="68" t="str">
        <v>company_a</v>
      </c>
      <c r="G185" s="67">
        <v>175147.81622161414</v>
      </c>
    </row>
    <row r="186" spans="2:7">
      <c r="B186" s="68" t="str">
        <v>level_2</v>
      </c>
      <c r="C186" s="68" t="str">
        <v>north west</v>
      </c>
      <c r="D186" s="68" t="str">
        <v>reserve</v>
      </c>
      <c r="E186" s="68" t="str">
        <v>counterparty</v>
      </c>
      <c r="F186" s="68" t="str">
        <v>company_b</v>
      </c>
      <c r="G186" s="67">
        <v>138992.80216928618</v>
      </c>
    </row>
    <row r="187" spans="2:7">
      <c r="B187" s="68" t="str">
        <v>level_2</v>
      </c>
      <c r="C187" s="68" t="str">
        <v>eastern cape</v>
      </c>
      <c r="D187" s="68" t="str">
        <v>reserve</v>
      </c>
      <c r="E187" s="68" t="str">
        <v>gross charge</v>
      </c>
      <c r="F187" s="68" t="str">
        <v>gross charge</v>
      </c>
      <c r="G187" s="67">
        <v>1027948.0971655734</v>
      </c>
    </row>
    <row r="188" spans="2:7">
      <c r="B188" s="68" t="str">
        <v>level_2</v>
      </c>
      <c r="C188" s="68" t="str">
        <v>eastern cape</v>
      </c>
      <c r="D188" s="68" t="str">
        <v>reserve</v>
      </c>
      <c r="E188" s="68" t="str">
        <v>net charge</v>
      </c>
      <c r="F188" s="68" t="str">
        <v>net charge</v>
      </c>
      <c r="G188" s="67">
        <v>947334.54987405194</v>
      </c>
    </row>
    <row r="189" spans="2:7">
      <c r="B189" s="68" t="str">
        <v>level_2</v>
      </c>
      <c r="C189" s="68" t="str">
        <v>eastern cape</v>
      </c>
      <c r="D189" s="68" t="str">
        <v>reserve</v>
      </c>
      <c r="E189" s="68" t="str">
        <v>calculated net charge</v>
      </c>
      <c r="F189" s="68" t="str">
        <v>calculated net charge</v>
      </c>
      <c r="G189" s="67">
        <v>952618.01922201412</v>
      </c>
    </row>
    <row r="190" spans="2:7">
      <c r="B190" s="68" t="str">
        <v>level_2</v>
      </c>
      <c r="C190" s="68" t="str">
        <v>eastern cape</v>
      </c>
      <c r="D190" s="68" t="str">
        <v>reserve</v>
      </c>
      <c r="E190" s="68" t="str">
        <v>counterparty</v>
      </c>
      <c r="F190" s="68" t="str">
        <v>company_b</v>
      </c>
      <c r="G190" s="67">
        <v>26621.408536268864</v>
      </c>
    </row>
    <row r="191" spans="2:7">
      <c r="B191" s="68" t="str">
        <v>level_2</v>
      </c>
      <c r="C191" s="68" t="str">
        <v>eastern cape</v>
      </c>
      <c r="D191" s="68" t="str">
        <v>reserve</v>
      </c>
      <c r="E191" s="68" t="str">
        <v>counterparty</v>
      </c>
      <c r="F191" s="68" t="str">
        <v>company_c</v>
      </c>
      <c r="G191" s="67">
        <v>48150.356860960717</v>
      </c>
    </row>
    <row r="192" spans="2:7">
      <c r="B192" s="68" t="str">
        <v>level_2</v>
      </c>
      <c r="C192" s="68" t="str">
        <v>free state</v>
      </c>
      <c r="D192" s="68" t="str">
        <v>reserve</v>
      </c>
      <c r="E192" s="68" t="str">
        <v>gross charge</v>
      </c>
      <c r="F192" s="68" t="str">
        <v>gross charge</v>
      </c>
      <c r="G192" s="67">
        <v>1164469.3237679324</v>
      </c>
    </row>
    <row r="193" spans="2:7">
      <c r="B193" s="68" t="str">
        <v>level_2</v>
      </c>
      <c r="C193" s="68" t="str">
        <v>free state</v>
      </c>
      <c r="D193" s="68" t="str">
        <v>reserve</v>
      </c>
      <c r="E193" s="68" t="str">
        <v>net charge</v>
      </c>
      <c r="F193" s="68" t="str">
        <v>net charge</v>
      </c>
      <c r="G193" s="67">
        <v>954163.31322392577</v>
      </c>
    </row>
    <row r="194" spans="2:7">
      <c r="B194" s="68" t="str">
        <v>level_2</v>
      </c>
      <c r="C194" s="68" t="str">
        <v>free state</v>
      </c>
      <c r="D194" s="68" t="str">
        <v>reserve</v>
      </c>
      <c r="E194" s="68" t="str">
        <v>calculated net charge</v>
      </c>
      <c r="F194" s="68" t="str">
        <v>calculated net charge</v>
      </c>
      <c r="G194" s="67">
        <v>971760.54279439407</v>
      </c>
    </row>
    <row r="195" spans="2:7">
      <c r="B195" s="68" t="str">
        <v>level_2</v>
      </c>
      <c r="C195" s="68" t="str">
        <v>free state</v>
      </c>
      <c r="D195" s="68" t="str">
        <v>reserve</v>
      </c>
      <c r="E195" s="68" t="str">
        <v>counterparty</v>
      </c>
      <c r="F195" s="68" t="str">
        <v>company_a</v>
      </c>
      <c r="G195" s="67">
        <v>63764.782872602693</v>
      </c>
    </row>
    <row r="196" spans="2:7">
      <c r="B196" s="68" t="str">
        <v>level_2</v>
      </c>
      <c r="C196" s="68" t="str">
        <v>free state</v>
      </c>
      <c r="D196" s="68" t="str">
        <v>reserve</v>
      </c>
      <c r="E196" s="68" t="str">
        <v>counterparty</v>
      </c>
      <c r="F196" s="68" t="str">
        <v>company_b</v>
      </c>
      <c r="G196" s="67">
        <v>77626.177330386126</v>
      </c>
    </row>
    <row r="197" spans="2:7">
      <c r="B197" s="68" t="str">
        <v>level_2</v>
      </c>
      <c r="C197" s="68" t="str">
        <v>free state</v>
      </c>
      <c r="D197" s="68" t="str">
        <v>reserve</v>
      </c>
      <c r="E197" s="68" t="str">
        <v>counterparty</v>
      </c>
      <c r="F197" s="68" t="str">
        <v>company_c</v>
      </c>
      <c r="G197" s="67">
        <v>50222.69607973774</v>
      </c>
    </row>
    <row r="198" spans="2:7">
      <c r="B198" s="68" t="str">
        <v>level_2</v>
      </c>
      <c r="C198" s="68" t="str">
        <v>northern cape</v>
      </c>
      <c r="D198" s="68" t="str">
        <v>reserve</v>
      </c>
      <c r="E198" s="68" t="str">
        <v>gross charge</v>
      </c>
      <c r="F198" s="68" t="str">
        <v>gross charge</v>
      </c>
      <c r="G198" s="67">
        <v>1694783.402692073</v>
      </c>
    </row>
    <row r="199" spans="2:7">
      <c r="B199" s="68" t="str">
        <v>level_2</v>
      </c>
      <c r="C199" s="68" t="str">
        <v>northern cape</v>
      </c>
      <c r="D199" s="68" t="str">
        <v>reserve</v>
      </c>
      <c r="E199" s="68" t="str">
        <v>net charge</v>
      </c>
      <c r="F199" s="68" t="str">
        <v>net charge</v>
      </c>
      <c r="G199" s="67">
        <v>1630385.5219585015</v>
      </c>
    </row>
    <row r="200" spans="2:7">
      <c r="B200" s="68" t="str">
        <v>level_2</v>
      </c>
      <c r="C200" s="68" t="str">
        <v>northern cape</v>
      </c>
      <c r="D200" s="68" t="str">
        <v>reserve</v>
      </c>
      <c r="E200" s="68" t="str">
        <v>calculated net charge</v>
      </c>
      <c r="F200" s="68" t="str">
        <v>calculated net charge</v>
      </c>
      <c r="G200" s="67">
        <v>1636426.4653383472</v>
      </c>
    </row>
    <row r="201" spans="2:7">
      <c r="B201" s="68" t="str">
        <v>level_2</v>
      </c>
      <c r="C201" s="68" t="str">
        <v>northern cape</v>
      </c>
      <c r="D201" s="68" t="str">
        <v>reserve</v>
      </c>
      <c r="E201" s="68" t="str">
        <v>counterparty</v>
      </c>
      <c r="F201" s="68" t="str">
        <v>company_a</v>
      </c>
      <c r="G201" s="67">
        <v>31554.519010415766</v>
      </c>
    </row>
    <row r="202" spans="2:7">
      <c r="B202" s="68" t="str">
        <v>level_2</v>
      </c>
      <c r="C202" s="68" t="str">
        <v>northern cape</v>
      </c>
      <c r="D202" s="68" t="str">
        <v>reserve</v>
      </c>
      <c r="E202" s="68" t="str">
        <v>counterparty</v>
      </c>
      <c r="F202" s="68" t="str">
        <v>company_b</v>
      </c>
      <c r="G202" s="67">
        <v>25067.03522609151</v>
      </c>
    </row>
    <row r="203" spans="2:7">
      <c r="B203" s="68" t="str">
        <v>level_2</v>
      </c>
      <c r="C203" s="68" t="str">
        <v>western cape</v>
      </c>
      <c r="D203" s="68" t="str">
        <v>reserve</v>
      </c>
      <c r="E203" s="68" t="str">
        <v>gross charge</v>
      </c>
      <c r="F203" s="68" t="str">
        <v>gross charge</v>
      </c>
      <c r="G203" s="67">
        <v>1921217.4908788721</v>
      </c>
    </row>
    <row r="204" spans="2:7">
      <c r="B204" s="68" t="str">
        <v>level_2</v>
      </c>
      <c r="C204" s="68" t="str">
        <v>western cape</v>
      </c>
      <c r="D204" s="68" t="str">
        <v>reserve</v>
      </c>
      <c r="E204" s="68" t="str">
        <v>net charge</v>
      </c>
      <c r="F204" s="68" t="str">
        <v>net charge</v>
      </c>
      <c r="G204" s="67">
        <v>1301647.7358448131</v>
      </c>
    </row>
    <row r="205" spans="2:7">
      <c r="B205" s="68" t="str">
        <v>level_2</v>
      </c>
      <c r="C205" s="68" t="str">
        <v>western cape</v>
      </c>
      <c r="D205" s="68" t="str">
        <v>reserve</v>
      </c>
      <c r="E205" s="68" t="str">
        <v>calculated net charge</v>
      </c>
      <c r="F205" s="68" t="str">
        <v>calculated net charge</v>
      </c>
      <c r="G205" s="67">
        <v>1358090.1232993316</v>
      </c>
    </row>
    <row r="206" spans="2:7">
      <c r="B206" s="68" t="str">
        <v>level_2</v>
      </c>
      <c r="C206" s="68" t="str">
        <v>western cape</v>
      </c>
      <c r="D206" s="68" t="str">
        <v>reserve</v>
      </c>
      <c r="E206" s="68" t="str">
        <v>counterparty</v>
      </c>
      <c r="F206" s="68" t="str">
        <v>company_a</v>
      </c>
      <c r="G206" s="67">
        <v>268643.93839389295</v>
      </c>
    </row>
    <row r="207" spans="2:7">
      <c r="B207" s="68" t="str">
        <v>level_2</v>
      </c>
      <c r="C207" s="68" t="str">
        <v>western cape</v>
      </c>
      <c r="D207" s="68" t="str">
        <v>reserve</v>
      </c>
      <c r="E207" s="68" t="str">
        <v>counterparty</v>
      </c>
      <c r="F207" s="68" t="str">
        <v>company_b</v>
      </c>
      <c r="G207" s="67">
        <v>239018.74266158533</v>
      </c>
    </row>
    <row r="208" spans="2:7">
      <c r="B208" s="71" t="str">
        <v>level_2</v>
      </c>
      <c r="C208" s="71" t="str">
        <v>western cape</v>
      </c>
      <c r="D208" s="71" t="str">
        <v>reserve</v>
      </c>
      <c r="E208" s="71" t="str">
        <v>counterparty</v>
      </c>
      <c r="F208" s="71" t="str">
        <v>company_c</v>
      </c>
      <c r="G208" s="72">
        <v>49953.403941628756</v>
      </c>
    </row>
    <row r="209" spans="2:7">
      <c r="B209" s="69"/>
      <c r="C209" s="69"/>
      <c r="D209" s="69"/>
      <c r="E209" s="69"/>
      <c r="F209" s="69"/>
      <c r="G209" s="63"/>
    </row>
    <row r="210" spans="2:7">
      <c r="B210" s="4"/>
      <c r="C210" s="4"/>
      <c r="D210" s="4"/>
      <c r="E210" s="4"/>
      <c r="F210" s="4"/>
      <c r="G210" s="13"/>
    </row>
    <row r="211" spans="2:7">
      <c r="B211" s="4"/>
      <c r="C211" s="4"/>
      <c r="D211" s="4"/>
      <c r="E211" s="4"/>
      <c r="F211" s="4"/>
      <c r="G211" s="13"/>
    </row>
    <row r="212" spans="2:7">
      <c r="B212" s="4"/>
      <c r="C212" s="4"/>
      <c r="D212" s="4"/>
      <c r="E212" s="4"/>
      <c r="F212" s="4"/>
      <c r="G212" s="13"/>
    </row>
    <row r="213" spans="2:7">
      <c r="B213" s="4"/>
      <c r="C213" s="4"/>
      <c r="D213" s="4"/>
      <c r="E213" s="4"/>
      <c r="F213" s="4"/>
      <c r="G213" s="13"/>
    </row>
    <row r="214" spans="2:7">
      <c r="B214" s="4"/>
      <c r="C214" s="4"/>
      <c r="D214" s="4"/>
      <c r="E214" s="4"/>
      <c r="F214" s="4"/>
      <c r="G214" s="13"/>
    </row>
    <row r="215" spans="2:7">
      <c r="B215" s="4"/>
      <c r="C215" s="4"/>
      <c r="D215" s="4"/>
      <c r="E215" s="4"/>
      <c r="F215" s="4"/>
      <c r="G215" s="13"/>
    </row>
    <row r="216" spans="2:7">
      <c r="B216" s="4"/>
      <c r="C216" s="4"/>
      <c r="D216" s="4"/>
      <c r="E216" s="4"/>
      <c r="F216" s="4"/>
      <c r="G216" s="13"/>
    </row>
    <row r="217" spans="2:7">
      <c r="B217" s="4"/>
      <c r="C217" s="4"/>
      <c r="D217" s="4"/>
      <c r="E217" s="4"/>
      <c r="F217" s="4"/>
      <c r="G217" s="13"/>
    </row>
    <row r="218" spans="2:7">
      <c r="B218" s="4"/>
      <c r="C218" s="4"/>
      <c r="D218" s="4"/>
      <c r="E218" s="4"/>
      <c r="F218" s="4"/>
      <c r="G218" s="13"/>
    </row>
    <row r="219" spans="2:7">
      <c r="B219" s="4"/>
      <c r="C219" s="4"/>
      <c r="D219" s="4"/>
      <c r="E219" s="4"/>
      <c r="F219" s="4"/>
      <c r="G219" s="13"/>
    </row>
    <row r="220" spans="2:7">
      <c r="B220" s="4"/>
      <c r="C220" s="4"/>
      <c r="D220" s="4"/>
      <c r="E220" s="4"/>
      <c r="F220" s="4"/>
      <c r="G220" s="13"/>
    </row>
    <row r="221" spans="2:7">
      <c r="B221" s="4"/>
      <c r="C221" s="4"/>
      <c r="D221" s="4"/>
      <c r="E221" s="4"/>
      <c r="F221" s="4"/>
      <c r="G221" s="13"/>
    </row>
    <row r="222" spans="2:7">
      <c r="B222" s="4"/>
      <c r="C222" s="4"/>
      <c r="D222" s="4"/>
      <c r="E222" s="4"/>
      <c r="F222" s="4"/>
      <c r="G222" s="13"/>
    </row>
    <row r="223" spans="2:7">
      <c r="B223" s="7"/>
      <c r="C223" s="7"/>
      <c r="D223" s="7"/>
      <c r="E223" s="7"/>
      <c r="F223" s="7"/>
      <c r="G223" s="62"/>
    </row>
  </sheetData>
  <mergeCells count="2">
    <mergeCell ref="I5:N5"/>
    <mergeCell ref="B5:G5"/>
  </mergeCell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E0273-DA57-4058-9027-1EE115BF7A37}">
  <sheetPr codeName="Sheet3"/>
  <dimension ref="A1:AI85"/>
  <sheetViews>
    <sheetView workbookViewId="0">
      <selection activeCell="G20" sqref="G20:T27"/>
    </sheetView>
  </sheetViews>
  <sheetFormatPr defaultRowHeight="14.5"/>
  <cols>
    <col min="1" max="1" width="1.36328125" customWidth="1"/>
    <col min="2" max="5" width="17.90625" customWidth="1"/>
    <col min="6" max="6" width="1.36328125" customWidth="1"/>
    <col min="7" max="7" width="11.453125" bestFit="1" customWidth="1"/>
    <col min="8" max="8" width="10.453125" bestFit="1" customWidth="1"/>
    <col min="9" max="9" width="8.81640625" bestFit="1" customWidth="1"/>
    <col min="10" max="10" width="14.26953125" bestFit="1" customWidth="1"/>
    <col min="11" max="11" width="15" bestFit="1" customWidth="1"/>
    <col min="12" max="12" width="16.1796875" bestFit="1" customWidth="1"/>
    <col min="13" max="13" width="13.36328125" bestFit="1" customWidth="1"/>
    <col min="14" max="14" width="13.90625" customWidth="1"/>
    <col min="15" max="15" width="5.81640625" bestFit="1" customWidth="1"/>
    <col min="16" max="16" width="15" bestFit="1" customWidth="1"/>
    <col min="17" max="17" width="16.1796875" bestFit="1" customWidth="1"/>
    <col min="18" max="18" width="13.36328125" bestFit="1" customWidth="1"/>
    <col min="19" max="19" width="12" bestFit="1" customWidth="1"/>
    <col min="20" max="20" width="10.81640625" bestFit="1" customWidth="1"/>
    <col min="21" max="21" width="1.453125" customWidth="1"/>
    <col min="22" max="23" width="15.1796875" customWidth="1"/>
    <col min="24" max="24" width="8.81640625" bestFit="1" customWidth="1"/>
    <col min="25" max="25" width="14.26953125" bestFit="1" customWidth="1"/>
    <col min="26" max="26" width="15" bestFit="1" customWidth="1"/>
    <col min="27" max="27" width="16.1796875" bestFit="1" customWidth="1"/>
    <col min="28" max="28" width="13.36328125" bestFit="1" customWidth="1"/>
    <col min="29" max="29" width="13.90625" customWidth="1"/>
    <col min="30" max="30" width="5.81640625" bestFit="1" customWidth="1"/>
    <col min="31" max="31" width="15" bestFit="1" customWidth="1"/>
    <col min="32" max="32" width="16.1796875" bestFit="1" customWidth="1"/>
    <col min="33" max="33" width="13.36328125" bestFit="1" customWidth="1"/>
    <col min="34" max="34" width="12" bestFit="1" customWidth="1"/>
    <col min="35" max="35" width="10.81640625" bestFit="1" customWidth="1"/>
  </cols>
  <sheetData>
    <row r="1" spans="1:35">
      <c r="A1" t="str" cm="1">
        <f t="array" aca="1" ref="A1" ca="1">CELL("filename",A1)</f>
        <v>C:\Sync\git_hub\vba_samplicity\[02_magnus_reinsurance.xlsm]Reinsurance</v>
      </c>
    </row>
    <row r="2" spans="1:35">
      <c r="A2" s="14" t="s">
        <v>206</v>
      </c>
      <c r="Q2" s="11"/>
    </row>
    <row r="3" spans="1:35">
      <c r="A3" s="14" t="s">
        <v>434</v>
      </c>
      <c r="Q3" s="11"/>
    </row>
    <row r="4" spans="1:35">
      <c r="O4" s="22"/>
      <c r="Q4" s="11"/>
    </row>
    <row r="5" spans="1:35">
      <c r="R5" s="11"/>
    </row>
    <row r="6" spans="1:35">
      <c r="B6" s="10"/>
      <c r="C6" s="10"/>
      <c r="D6" s="10"/>
      <c r="E6" s="10"/>
    </row>
    <row r="7" spans="1:35">
      <c r="B7" s="86" t="s">
        <v>437</v>
      </c>
      <c r="C7" s="122" t="s">
        <v>436</v>
      </c>
      <c r="D7" s="123" t="s">
        <v>25</v>
      </c>
      <c r="E7" s="124" t="s">
        <v>496</v>
      </c>
      <c r="G7" s="85" t="str" cm="1">
        <f t="array" ref="G7:T39">recoveries(tContract[#All],tCounterparty[#All],tProgramme[#All],B8,tEarthquake[#All],B11,C10:E11,B14,C13:E17)</f>
        <v>event_name</v>
      </c>
      <c r="H7" s="85" t="str">
        <v>contract_id</v>
      </c>
      <c r="I7" s="85" t="str">
        <v>structure</v>
      </c>
      <c r="J7" s="85" t="str">
        <v>loss_presented</v>
      </c>
      <c r="K7" s="85" t="str">
        <v>theo_recoveries</v>
      </c>
      <c r="L7" s="85" t="str">
        <v>actual_recoveries</v>
      </c>
      <c r="M7" s="85" t="str">
        <v>reinstatement</v>
      </c>
      <c r="N7" s="85" t="str">
        <v>net_recoveries</v>
      </c>
      <c r="O7" s="85" t="str">
        <v>event</v>
      </c>
      <c r="P7" s="85" t="str">
        <v>theo_recoveries</v>
      </c>
      <c r="Q7" s="85" t="str">
        <v>actual_recoveries</v>
      </c>
      <c r="R7" s="85" t="str">
        <v>reinstatement</v>
      </c>
      <c r="S7" s="85" t="str">
        <v>counterparty</v>
      </c>
      <c r="T7" s="85" t="str">
        <v>recovery</v>
      </c>
      <c r="V7" s="85" t="str" cm="1">
        <f t="array" ref="V7:AI19">_xlfn.LET(
    _xlpm.recoveries,_xlfn.ANCHORARRAY( G7),
    _xlpm.headings,INDEX(_xlpm.recoveries,1,0),
    _xlpm.data,
    _xlfn._xlws.FILTER(_xlpm.recoveries,
        (_xlfn.CHOOSECOLS(_xlpm.recoveries,1)="EQ") *
        (_xlfn.CHOOSECOLS(_xlpm.recoveries,2)&lt;&gt;"")),
    _xlfn.VSTACK(_xlpm.headings,_xlpm.data)
)</f>
        <v>event_name</v>
      </c>
      <c r="W7" s="85" t="str">
        <v>contract_id</v>
      </c>
      <c r="X7" s="85" t="str">
        <v>structure</v>
      </c>
      <c r="Y7" s="85" t="str">
        <v>loss_presented</v>
      </c>
      <c r="Z7" s="85" t="str">
        <v>theo_recoveries</v>
      </c>
      <c r="AA7" s="85" t="str">
        <v>actual_recoveries</v>
      </c>
      <c r="AB7" s="85" t="str">
        <v>reinstatement</v>
      </c>
      <c r="AC7" s="85" t="str">
        <v>net_recoveries</v>
      </c>
      <c r="AD7" s="85" t="str">
        <v>event</v>
      </c>
      <c r="AE7" s="85" t="str">
        <v>theo_recoveries</v>
      </c>
      <c r="AF7" s="85" t="str">
        <v>actual_recoveries</v>
      </c>
      <c r="AG7" s="85" t="str">
        <v>reinstatement</v>
      </c>
      <c r="AH7" s="85" t="str">
        <v>counterparty</v>
      </c>
      <c r="AI7" s="85" t="str">
        <v>recovery</v>
      </c>
    </row>
    <row r="8" spans="1:35">
      <c r="B8" s="87" t="s">
        <v>498</v>
      </c>
      <c r="C8" s="125">
        <v>48263134</v>
      </c>
      <c r="D8" s="126">
        <v>22629263.5</v>
      </c>
      <c r="E8" s="127">
        <v>25633870.5</v>
      </c>
      <c r="F8" s="10"/>
      <c r="G8" s="10" t="str">
        <v>eq</v>
      </c>
      <c r="H8" t="str">
        <v>prop</v>
      </c>
      <c r="I8" s="10" t="str">
        <v>property</v>
      </c>
      <c r="J8" s="10">
        <v>25633870.5</v>
      </c>
      <c r="K8" s="10">
        <v>12816935.25</v>
      </c>
      <c r="L8" s="10">
        <v>12176088.487499999</v>
      </c>
      <c r="M8" s="10">
        <v>0</v>
      </c>
      <c r="N8" s="10">
        <v>12176088.487499999</v>
      </c>
      <c r="O8" s="10">
        <v>1</v>
      </c>
      <c r="P8" s="10">
        <v>42263823.351083055</v>
      </c>
      <c r="Q8" s="10">
        <v>41222976.588583052</v>
      </c>
      <c r="R8" s="10">
        <v>1980000</v>
      </c>
      <c r="S8" s="10" t="str">
        <v>G</v>
      </c>
      <c r="T8" s="10">
        <v>280000</v>
      </c>
      <c r="V8" t="str">
        <v>eq</v>
      </c>
      <c r="W8" t="str">
        <v>prop</v>
      </c>
      <c r="X8" t="str">
        <v>property</v>
      </c>
      <c r="Y8" s="10">
        <v>25633870.5</v>
      </c>
      <c r="Z8" s="10">
        <v>12816935.25</v>
      </c>
      <c r="AA8" s="10">
        <v>12176088.487499999</v>
      </c>
      <c r="AB8" s="10">
        <v>0</v>
      </c>
      <c r="AC8" s="10">
        <v>12176088.487499999</v>
      </c>
      <c r="AD8" s="10">
        <v>1</v>
      </c>
      <c r="AE8" s="10">
        <v>42263823.351083055</v>
      </c>
      <c r="AF8" s="10">
        <v>41222976.588583052</v>
      </c>
      <c r="AG8" s="10">
        <v>1980000</v>
      </c>
      <c r="AH8" s="10" t="str">
        <v>G</v>
      </c>
      <c r="AI8" s="10">
        <v>280000</v>
      </c>
    </row>
    <row r="9" spans="1:35">
      <c r="B9" s="10"/>
      <c r="C9" s="10"/>
      <c r="D9" s="10"/>
      <c r="E9" s="10"/>
      <c r="F9" s="10"/>
      <c r="G9" s="10" t="str">
        <v>eq</v>
      </c>
      <c r="H9" t="str">
        <v>xol_1</v>
      </c>
      <c r="I9" s="10" t="str">
        <v>motor</v>
      </c>
      <c r="J9" s="10">
        <v>19152347.189273715</v>
      </c>
      <c r="K9" s="10">
        <v>1276823.145951581</v>
      </c>
      <c r="L9" s="10">
        <v>1021458.5167612648</v>
      </c>
      <c r="M9" s="10">
        <v>306437.55502837943</v>
      </c>
      <c r="N9" s="10">
        <v>715020.96173288533</v>
      </c>
      <c r="O9" s="10" t="str">
        <v/>
      </c>
      <c r="P9" s="10" t="str">
        <v/>
      </c>
      <c r="Q9" s="10" t="str">
        <v/>
      </c>
      <c r="R9" s="10" t="str">
        <v/>
      </c>
      <c r="S9" s="10" t="str">
        <v>H</v>
      </c>
      <c r="T9" s="10">
        <v>480000</v>
      </c>
      <c r="V9" t="str">
        <v>eq</v>
      </c>
      <c r="W9" t="str">
        <v>xol_1</v>
      </c>
      <c r="X9" t="str">
        <v>motor</v>
      </c>
      <c r="Y9" s="10">
        <v>19152347.189273715</v>
      </c>
      <c r="Z9" s="10">
        <v>1276823.145951581</v>
      </c>
      <c r="AA9" s="10">
        <v>1021458.5167612648</v>
      </c>
      <c r="AB9" s="10">
        <v>306437.55502837943</v>
      </c>
      <c r="AC9" s="10">
        <v>715020.96173288533</v>
      </c>
      <c r="AD9" s="10" t="str">
        <v/>
      </c>
      <c r="AE9" s="10" t="str">
        <v/>
      </c>
      <c r="AF9" s="10" t="str">
        <v/>
      </c>
      <c r="AG9" s="10" t="str">
        <v/>
      </c>
      <c r="AH9" s="10" t="str">
        <v>H</v>
      </c>
      <c r="AI9" s="10">
        <v>480000</v>
      </c>
    </row>
    <row r="10" spans="1:35">
      <c r="B10" s="86" t="s">
        <v>437</v>
      </c>
      <c r="C10" s="86" t="s">
        <v>436</v>
      </c>
      <c r="D10" s="86" t="s">
        <v>25</v>
      </c>
      <c r="E10" s="86" t="s">
        <v>496</v>
      </c>
      <c r="F10" s="10"/>
      <c r="G10" s="10" t="str">
        <v>eq</v>
      </c>
      <c r="H10" t="str">
        <v>xol_1</v>
      </c>
      <c r="I10" s="10" t="str">
        <v>property</v>
      </c>
      <c r="J10" s="10">
        <v>10847652.810726285</v>
      </c>
      <c r="K10" s="10">
        <v>723176.85404841905</v>
      </c>
      <c r="L10" s="10">
        <v>578541.48323873524</v>
      </c>
      <c r="M10" s="10">
        <v>173562.44497162057</v>
      </c>
      <c r="N10" s="10">
        <v>404979.03826711467</v>
      </c>
      <c r="O10" s="10" t="str">
        <v/>
      </c>
      <c r="P10" s="10" t="str">
        <v/>
      </c>
      <c r="Q10" s="10" t="str">
        <v/>
      </c>
      <c r="R10" s="10" t="str">
        <v/>
      </c>
      <c r="S10" s="10" t="str">
        <v>D</v>
      </c>
      <c r="T10" s="10">
        <v>2250000</v>
      </c>
      <c r="V10" t="str">
        <v>eq</v>
      </c>
      <c r="W10" t="str">
        <v>xol_1</v>
      </c>
      <c r="X10" t="str">
        <v>property</v>
      </c>
      <c r="Y10" s="10">
        <v>10847652.810726285</v>
      </c>
      <c r="Z10" s="10">
        <v>723176.85404841905</v>
      </c>
      <c r="AA10" s="10">
        <v>578541.48323873524</v>
      </c>
      <c r="AB10" s="10">
        <v>173562.44497162057</v>
      </c>
      <c r="AC10" s="10">
        <v>404979.03826711467</v>
      </c>
      <c r="AD10" s="10" t="str">
        <v/>
      </c>
      <c r="AE10" s="10" t="str">
        <v/>
      </c>
      <c r="AF10" s="10" t="str">
        <v/>
      </c>
      <c r="AG10" s="10" t="str">
        <v/>
      </c>
      <c r="AH10" s="10" t="str">
        <v>D</v>
      </c>
      <c r="AI10" s="10">
        <v>2250000</v>
      </c>
    </row>
    <row r="11" spans="1:35">
      <c r="B11" s="87" t="s">
        <v>106</v>
      </c>
      <c r="C11" s="87">
        <v>9871539.1369863003</v>
      </c>
      <c r="D11" s="87">
        <v>3258234.6472602743</v>
      </c>
      <c r="E11" s="87">
        <v>6613304.4897260275</v>
      </c>
      <c r="F11" s="10"/>
      <c r="G11" s="10" t="str">
        <v>eq</v>
      </c>
      <c r="H11" t="str">
        <v>xol_2</v>
      </c>
      <c r="I11" s="10" t="str">
        <v>motor</v>
      </c>
      <c r="J11" s="10">
        <v>19152347.189273715</v>
      </c>
      <c r="K11" s="10">
        <v>1276823.145951581</v>
      </c>
      <c r="L11" s="10">
        <v>1276823.145951581</v>
      </c>
      <c r="M11" s="10">
        <v>255364.62919031619</v>
      </c>
      <c r="N11" s="10">
        <v>1021458.5167612648</v>
      </c>
      <c r="O11" s="10" t="str">
        <v/>
      </c>
      <c r="P11" s="10" t="str">
        <v/>
      </c>
      <c r="Q11" s="10" t="str">
        <v/>
      </c>
      <c r="R11" s="10" t="str">
        <v/>
      </c>
      <c r="S11" s="10" t="str">
        <v>I</v>
      </c>
      <c r="T11" s="10">
        <v>1350000</v>
      </c>
      <c r="V11" t="str">
        <v>eq</v>
      </c>
      <c r="W11" t="str">
        <v>xol_2</v>
      </c>
      <c r="X11" t="str">
        <v>motor</v>
      </c>
      <c r="Y11" s="10">
        <v>19152347.189273715</v>
      </c>
      <c r="Z11" s="10">
        <v>1276823.145951581</v>
      </c>
      <c r="AA11" s="10">
        <v>1276823.145951581</v>
      </c>
      <c r="AB11" s="10">
        <v>255364.62919031619</v>
      </c>
      <c r="AC11" s="10">
        <v>1021458.5167612648</v>
      </c>
      <c r="AD11" s="10" t="str">
        <v/>
      </c>
      <c r="AE11" s="10" t="str">
        <v/>
      </c>
      <c r="AF11" s="10" t="str">
        <v/>
      </c>
      <c r="AG11" s="10" t="str">
        <v/>
      </c>
      <c r="AH11" s="10" t="str">
        <v>I</v>
      </c>
      <c r="AI11" s="10">
        <v>1350000</v>
      </c>
    </row>
    <row r="12" spans="1:35">
      <c r="B12" s="10"/>
      <c r="C12" s="10"/>
      <c r="D12" s="10"/>
      <c r="E12" s="10"/>
      <c r="F12" s="10"/>
      <c r="G12" s="10" t="str">
        <v>eq</v>
      </c>
      <c r="H12" t="str">
        <v>xol_2</v>
      </c>
      <c r="I12" s="10" t="str">
        <v>property</v>
      </c>
      <c r="J12" s="10">
        <v>10847652.810726285</v>
      </c>
      <c r="K12" s="10">
        <v>723176.85404841905</v>
      </c>
      <c r="L12" s="10">
        <v>723176.85404841905</v>
      </c>
      <c r="M12" s="10">
        <v>144635.37080968381</v>
      </c>
      <c r="N12" s="10">
        <v>578541.48323873524</v>
      </c>
      <c r="O12" s="10" t="str">
        <v/>
      </c>
      <c r="P12" s="10" t="str">
        <v/>
      </c>
      <c r="Q12" s="10" t="str">
        <v/>
      </c>
      <c r="R12" s="10" t="str">
        <v/>
      </c>
      <c r="S12" s="10" t="str">
        <v>C</v>
      </c>
      <c r="T12" s="10">
        <v>2960000</v>
      </c>
      <c r="V12" t="str">
        <v>eq</v>
      </c>
      <c r="W12" t="str">
        <v>xol_2</v>
      </c>
      <c r="X12" t="str">
        <v>property</v>
      </c>
      <c r="Y12" s="10">
        <v>10847652.810726285</v>
      </c>
      <c r="Z12" s="10">
        <v>723176.85404841905</v>
      </c>
      <c r="AA12" s="10">
        <v>723176.85404841905</v>
      </c>
      <c r="AB12" s="10">
        <v>144635.37080968381</v>
      </c>
      <c r="AC12" s="10">
        <v>578541.48323873524</v>
      </c>
      <c r="AD12" s="10" t="str">
        <v/>
      </c>
      <c r="AE12" s="10" t="str">
        <v/>
      </c>
      <c r="AF12" s="10" t="str">
        <v/>
      </c>
      <c r="AG12" s="10" t="str">
        <v/>
      </c>
      <c r="AH12" s="10" t="str">
        <v>C</v>
      </c>
      <c r="AI12" s="10">
        <v>2960000</v>
      </c>
    </row>
    <row r="13" spans="1:35">
      <c r="B13" s="86" t="s">
        <v>437</v>
      </c>
      <c r="C13" s="86" t="s">
        <v>436</v>
      </c>
      <c r="D13" s="86" t="s">
        <v>25</v>
      </c>
      <c r="E13" s="86" t="s">
        <v>496</v>
      </c>
      <c r="F13" s="10"/>
      <c r="G13" s="10" t="str">
        <v>eq</v>
      </c>
      <c r="H13" t="str">
        <v>xol_3</v>
      </c>
      <c r="I13" s="10" t="str">
        <v>motor</v>
      </c>
      <c r="J13" s="10">
        <v>19152347.189273715</v>
      </c>
      <c r="K13" s="10">
        <v>3192057.8648789525</v>
      </c>
      <c r="L13" s="10">
        <v>3192057.8648789525</v>
      </c>
      <c r="M13" s="10">
        <v>319205.78648789524</v>
      </c>
      <c r="N13" s="10">
        <v>2872852.0783910574</v>
      </c>
      <c r="O13" s="10" t="str">
        <v/>
      </c>
      <c r="P13" s="10" t="str">
        <v/>
      </c>
      <c r="Q13" s="10" t="str">
        <v/>
      </c>
      <c r="R13" s="10" t="str">
        <v/>
      </c>
      <c r="S13" s="10" t="str">
        <v>E</v>
      </c>
      <c r="T13" s="10">
        <v>6650000</v>
      </c>
      <c r="V13" t="str">
        <v>eq</v>
      </c>
      <c r="W13" t="str">
        <v>xol_3</v>
      </c>
      <c r="X13" t="str">
        <v>motor</v>
      </c>
      <c r="Y13" s="10">
        <v>19152347.189273715</v>
      </c>
      <c r="Z13" s="10">
        <v>3192057.8648789525</v>
      </c>
      <c r="AA13" s="10">
        <v>3192057.8648789525</v>
      </c>
      <c r="AB13" s="10">
        <v>319205.78648789524</v>
      </c>
      <c r="AC13" s="10">
        <v>2872852.0783910574</v>
      </c>
      <c r="AD13" s="10" t="str">
        <v/>
      </c>
      <c r="AE13" s="10" t="str">
        <v/>
      </c>
      <c r="AF13" s="10" t="str">
        <v/>
      </c>
      <c r="AG13" s="10" t="str">
        <v/>
      </c>
      <c r="AH13" s="10" t="str">
        <v>E</v>
      </c>
      <c r="AI13" s="10">
        <v>6650000</v>
      </c>
    </row>
    <row r="14" spans="1:35">
      <c r="B14" s="121" t="s">
        <v>499</v>
      </c>
      <c r="C14" s="79">
        <v>48263134</v>
      </c>
      <c r="D14" s="79">
        <v>22629263.5</v>
      </c>
      <c r="E14" s="79">
        <v>25633870.5</v>
      </c>
      <c r="F14" s="10"/>
      <c r="G14" s="10" t="str">
        <v>eq</v>
      </c>
      <c r="H14" t="str">
        <v>xol_3</v>
      </c>
      <c r="I14" s="10" t="str">
        <v>property</v>
      </c>
      <c r="J14" s="10">
        <v>10847652.810726285</v>
      </c>
      <c r="K14" s="10">
        <v>1807942.1351210475</v>
      </c>
      <c r="L14" s="10">
        <v>1807942.1351210475</v>
      </c>
      <c r="M14" s="10">
        <v>180794.21351210476</v>
      </c>
      <c r="N14" s="10">
        <v>1627147.9216089428</v>
      </c>
      <c r="O14" s="10" t="str">
        <v/>
      </c>
      <c r="P14" s="10" t="str">
        <v/>
      </c>
      <c r="Q14" s="10" t="str">
        <v/>
      </c>
      <c r="R14" s="10" t="str">
        <v/>
      </c>
      <c r="S14" s="10" t="str">
        <v>B</v>
      </c>
      <c r="T14" s="10">
        <v>3795000.0000000005</v>
      </c>
      <c r="V14" t="str">
        <v>eq</v>
      </c>
      <c r="W14" t="str">
        <v>xol_3</v>
      </c>
      <c r="X14" t="str">
        <v>property</v>
      </c>
      <c r="Y14" s="10">
        <v>10847652.810726285</v>
      </c>
      <c r="Z14" s="10">
        <v>1807942.1351210475</v>
      </c>
      <c r="AA14" s="10">
        <v>1807942.1351210475</v>
      </c>
      <c r="AB14" s="10">
        <v>180794.21351210476</v>
      </c>
      <c r="AC14" s="10">
        <v>1627147.9216089428</v>
      </c>
      <c r="AD14" s="10" t="str">
        <v/>
      </c>
      <c r="AE14" s="10" t="str">
        <v/>
      </c>
      <c r="AF14" s="10" t="str">
        <v/>
      </c>
      <c r="AG14" s="10" t="str">
        <v/>
      </c>
      <c r="AH14" s="10" t="str">
        <v>B</v>
      </c>
      <c r="AI14" s="10">
        <v>3795000.0000000005</v>
      </c>
    </row>
    <row r="15" spans="1:35">
      <c r="B15" s="10"/>
      <c r="C15" s="81">
        <v>4935769.5684931502</v>
      </c>
      <c r="D15" s="81">
        <v>1629117.3236301371</v>
      </c>
      <c r="E15" s="81">
        <v>3306652.2448630137</v>
      </c>
      <c r="F15" s="10"/>
      <c r="G15" s="10" t="str">
        <v>eq</v>
      </c>
      <c r="H15" t="str">
        <v>xol_4</v>
      </c>
      <c r="I15" s="10" t="str">
        <v>motor</v>
      </c>
      <c r="J15" s="10">
        <v>19152347.189273715</v>
      </c>
      <c r="K15" s="10">
        <v>6384115.729757905</v>
      </c>
      <c r="L15" s="10">
        <v>6384115.729757905</v>
      </c>
      <c r="M15" s="10">
        <v>319205.78648789524</v>
      </c>
      <c r="N15" s="10">
        <v>6064909.9432700099</v>
      </c>
      <c r="O15" s="10" t="str">
        <v/>
      </c>
      <c r="P15" s="10" t="str">
        <v/>
      </c>
      <c r="Q15" s="10" t="str">
        <v/>
      </c>
      <c r="R15" s="10" t="str">
        <v/>
      </c>
      <c r="S15" s="10" t="str">
        <v>F</v>
      </c>
      <c r="T15" s="10">
        <v>3960000.0000000005</v>
      </c>
      <c r="V15" t="str">
        <v>eq</v>
      </c>
      <c r="W15" t="str">
        <v>xol_4</v>
      </c>
      <c r="X15" t="str">
        <v>motor</v>
      </c>
      <c r="Y15" s="10">
        <v>19152347.189273715</v>
      </c>
      <c r="Z15" s="10">
        <v>6384115.729757905</v>
      </c>
      <c r="AA15" s="10">
        <v>6384115.729757905</v>
      </c>
      <c r="AB15" s="10">
        <v>319205.78648789524</v>
      </c>
      <c r="AC15" s="10">
        <v>6064909.9432700099</v>
      </c>
      <c r="AD15" s="10" t="str">
        <v/>
      </c>
      <c r="AE15" s="10" t="str">
        <v/>
      </c>
      <c r="AF15" s="10" t="str">
        <v/>
      </c>
      <c r="AG15" s="10" t="str">
        <v/>
      </c>
      <c r="AH15" s="10" t="str">
        <v>F</v>
      </c>
      <c r="AI15" s="10">
        <v>3960000.0000000005</v>
      </c>
    </row>
    <row r="16" spans="1:35">
      <c r="B16" s="10"/>
      <c r="C16" s="81">
        <f>4935769.56849315*15</f>
        <v>74036543.527397245</v>
      </c>
      <c r="D16" s="81">
        <f>1629117.32363014*15</f>
        <v>24436759.8544521</v>
      </c>
      <c r="E16" s="81">
        <f>3306652.24486301*15</f>
        <v>49599783.672945149</v>
      </c>
      <c r="F16" s="10"/>
      <c r="G16" s="10" t="str">
        <v>eq</v>
      </c>
      <c r="H16" t="str">
        <v>xol_4</v>
      </c>
      <c r="I16" s="10" t="str">
        <v>property</v>
      </c>
      <c r="J16" s="10">
        <v>10847652.810726285</v>
      </c>
      <c r="K16" s="10">
        <v>3615884.270242095</v>
      </c>
      <c r="L16" s="10">
        <v>3615884.270242095</v>
      </c>
      <c r="M16" s="10">
        <v>180794.21351210476</v>
      </c>
      <c r="N16" s="10">
        <v>3435090.0567299901</v>
      </c>
      <c r="O16" s="10" t="str">
        <v/>
      </c>
      <c r="P16" s="10" t="str">
        <v/>
      </c>
      <c r="Q16" s="10" t="str">
        <v/>
      </c>
      <c r="R16" s="10" t="str">
        <v/>
      </c>
      <c r="S16" s="10" t="str">
        <v>A</v>
      </c>
      <c r="T16" s="10">
        <v>17517976.588583056</v>
      </c>
      <c r="V16" t="str">
        <v>eq</v>
      </c>
      <c r="W16" t="str">
        <v>xol_4</v>
      </c>
      <c r="X16" t="str">
        <v>property</v>
      </c>
      <c r="Y16" s="10">
        <v>10847652.810726285</v>
      </c>
      <c r="Z16" s="10">
        <v>3615884.270242095</v>
      </c>
      <c r="AA16" s="10">
        <v>3615884.270242095</v>
      </c>
      <c r="AB16" s="10">
        <v>180794.21351210476</v>
      </c>
      <c r="AC16" s="10">
        <v>3435090.0567299901</v>
      </c>
      <c r="AD16" s="10" t="str">
        <v/>
      </c>
      <c r="AE16" s="10" t="str">
        <v/>
      </c>
      <c r="AF16" s="10" t="str">
        <v/>
      </c>
      <c r="AG16" s="10" t="str">
        <v/>
      </c>
      <c r="AH16" s="10" t="str">
        <v>A</v>
      </c>
      <c r="AI16" s="10">
        <v>17517976.588583056</v>
      </c>
    </row>
    <row r="17" spans="2:35">
      <c r="B17" s="10"/>
      <c r="C17" s="83">
        <v>4935769.5684931502</v>
      </c>
      <c r="D17" s="83">
        <v>1629117.3236301371</v>
      </c>
      <c r="E17" s="83">
        <v>3306652.2448630137</v>
      </c>
      <c r="F17" s="10"/>
      <c r="G17" s="10" t="str">
        <v>eq</v>
      </c>
      <c r="H17" t="str">
        <v>xol_5</v>
      </c>
      <c r="I17" s="10" t="str">
        <v>motor</v>
      </c>
      <c r="J17" s="10">
        <v>19152347.189273715</v>
      </c>
      <c r="K17" s="10">
        <v>6384115.729757905</v>
      </c>
      <c r="L17" s="10">
        <v>6384115.729757905</v>
      </c>
      <c r="M17" s="10">
        <v>63841.157297579048</v>
      </c>
      <c r="N17" s="10">
        <v>6320274.5724603264</v>
      </c>
      <c r="O17" s="10" t="str">
        <v/>
      </c>
      <c r="P17" s="10" t="str">
        <v/>
      </c>
      <c r="Q17" s="10" t="str">
        <v/>
      </c>
      <c r="R17" s="10" t="str">
        <v/>
      </c>
      <c r="S17" s="10" t="str">
        <v/>
      </c>
      <c r="T17" s="10" t="str">
        <v/>
      </c>
      <c r="V17" t="str">
        <v>eq</v>
      </c>
      <c r="W17" t="str">
        <v>xol_5</v>
      </c>
      <c r="X17" t="str">
        <v>motor</v>
      </c>
      <c r="Y17" s="10">
        <v>19152347.189273715</v>
      </c>
      <c r="Z17" s="10">
        <v>6384115.729757905</v>
      </c>
      <c r="AA17" s="10">
        <v>6384115.729757905</v>
      </c>
      <c r="AB17" s="10">
        <v>63841.157297579048</v>
      </c>
      <c r="AC17" s="10">
        <v>6320274.5724603264</v>
      </c>
      <c r="AD17" t="str">
        <v/>
      </c>
      <c r="AE17" t="str">
        <v/>
      </c>
      <c r="AF17" t="str">
        <v/>
      </c>
      <c r="AG17" t="str">
        <v/>
      </c>
      <c r="AH17" t="str">
        <v/>
      </c>
      <c r="AI17" t="str">
        <v/>
      </c>
    </row>
    <row r="18" spans="2:35">
      <c r="G18" t="str">
        <v>eq</v>
      </c>
      <c r="H18" t="str">
        <v>xol_5</v>
      </c>
      <c r="I18" s="10" t="str">
        <v>property</v>
      </c>
      <c r="J18" s="10">
        <v>10847652.810726285</v>
      </c>
      <c r="K18" s="10">
        <v>3615884.270242095</v>
      </c>
      <c r="L18" s="10">
        <v>3615884.270242095</v>
      </c>
      <c r="M18" s="10">
        <v>36158.842702420952</v>
      </c>
      <c r="N18" s="10">
        <v>3579725.4275396741</v>
      </c>
      <c r="O18" s="10" t="str">
        <v/>
      </c>
      <c r="P18" s="10" t="str">
        <v/>
      </c>
      <c r="Q18" s="10" t="str">
        <v/>
      </c>
      <c r="R18" s="10" t="str">
        <v/>
      </c>
      <c r="S18" s="10" t="str">
        <v/>
      </c>
      <c r="T18" s="10" t="str">
        <v/>
      </c>
      <c r="V18" t="str">
        <v>eq</v>
      </c>
      <c r="W18" t="str">
        <v>xol_5</v>
      </c>
      <c r="X18" t="str">
        <v>property</v>
      </c>
      <c r="Y18" s="10">
        <v>10847652.810726285</v>
      </c>
      <c r="Z18" s="10">
        <v>3615884.270242095</v>
      </c>
      <c r="AA18" s="10">
        <v>3615884.270242095</v>
      </c>
      <c r="AB18" s="10">
        <v>36158.842702420952</v>
      </c>
      <c r="AC18" s="10">
        <v>3579725.4275396741</v>
      </c>
      <c r="AD18" t="str">
        <v/>
      </c>
      <c r="AE18" t="str">
        <v/>
      </c>
      <c r="AF18" t="str">
        <v/>
      </c>
      <c r="AG18" t="str">
        <v/>
      </c>
      <c r="AH18" t="str">
        <v/>
      </c>
      <c r="AI18" t="str">
        <v/>
      </c>
    </row>
    <row r="19" spans="2:35">
      <c r="G19" t="str">
        <v>eq</v>
      </c>
      <c r="H19" t="str">
        <v>later_prop</v>
      </c>
      <c r="I19" s="10" t="str">
        <v>motor</v>
      </c>
      <c r="J19" s="10">
        <v>638411.57297579199</v>
      </c>
      <c r="K19" s="10">
        <v>446888.10108305438</v>
      </c>
      <c r="L19" s="10">
        <v>446888.10108305438</v>
      </c>
      <c r="M19" s="10">
        <v>0</v>
      </c>
      <c r="N19" s="10">
        <v>446888.10108305438</v>
      </c>
      <c r="O19" s="10" t="str">
        <v/>
      </c>
      <c r="P19" s="10" t="str">
        <v/>
      </c>
      <c r="Q19" s="10" t="str">
        <v/>
      </c>
      <c r="R19" s="10" t="str">
        <v/>
      </c>
      <c r="S19" s="10" t="str">
        <v/>
      </c>
      <c r="T19" s="10" t="str">
        <v/>
      </c>
      <c r="V19" t="str">
        <v>eq</v>
      </c>
      <c r="W19" t="str">
        <v>later_prop</v>
      </c>
      <c r="X19" t="str">
        <v>motor</v>
      </c>
      <c r="Y19" s="10">
        <v>638411.57297579199</v>
      </c>
      <c r="Z19" s="10">
        <v>446888.10108305438</v>
      </c>
      <c r="AA19" s="10">
        <v>446888.10108305438</v>
      </c>
      <c r="AB19" s="10">
        <v>0</v>
      </c>
      <c r="AC19" s="10">
        <v>446888.10108305438</v>
      </c>
      <c r="AD19" t="str">
        <v/>
      </c>
      <c r="AE19" t="str">
        <v/>
      </c>
      <c r="AF19" t="str">
        <v/>
      </c>
      <c r="AG19" t="str">
        <v/>
      </c>
      <c r="AH19" t="str">
        <v/>
      </c>
      <c r="AI19" t="str">
        <v/>
      </c>
    </row>
    <row r="20" spans="2:35">
      <c r="G20" t="str">
        <v>f_flood</v>
      </c>
      <c r="H20" t="str">
        <v>prop</v>
      </c>
      <c r="I20" s="10" t="str">
        <v>property</v>
      </c>
      <c r="J20" s="10">
        <v>6613304.4897260256</v>
      </c>
      <c r="K20" s="10">
        <v>3306652.2448630128</v>
      </c>
      <c r="L20" s="10">
        <v>3141319.632619862</v>
      </c>
      <c r="M20" s="10">
        <v>0</v>
      </c>
      <c r="N20" s="10">
        <v>3141319.632619862</v>
      </c>
      <c r="O20" s="10">
        <v>1</v>
      </c>
      <c r="P20" s="10">
        <v>9218957.8039885741</v>
      </c>
      <c r="Q20" s="10">
        <v>8653625.1917454228</v>
      </c>
      <c r="R20" s="10">
        <v>1036488.6892123286</v>
      </c>
      <c r="S20" s="10" t="str">
        <v>G</v>
      </c>
      <c r="T20" s="10">
        <v>280000</v>
      </c>
      <c r="W20" s="11"/>
    </row>
    <row r="21" spans="2:35">
      <c r="G21" t="str">
        <v>f_flood</v>
      </c>
      <c r="H21" t="str">
        <v>xol_1</v>
      </c>
      <c r="I21" s="10" t="str">
        <v>motor</v>
      </c>
      <c r="J21" s="10">
        <v>3258234.6472602733</v>
      </c>
      <c r="K21" s="10">
        <v>992624.76286364789</v>
      </c>
      <c r="L21" s="10">
        <v>794099.81029091834</v>
      </c>
      <c r="M21" s="10">
        <v>238229.94308727549</v>
      </c>
      <c r="N21" s="10">
        <v>555869.86720364285</v>
      </c>
      <c r="O21" s="10" t="str">
        <v/>
      </c>
      <c r="P21" s="10" t="str">
        <v/>
      </c>
      <c r="Q21" s="10" t="str">
        <v/>
      </c>
      <c r="R21" s="10" t="str">
        <v/>
      </c>
      <c r="S21" s="10" t="str">
        <v>C</v>
      </c>
      <c r="T21" s="10">
        <v>1060000</v>
      </c>
    </row>
    <row r="22" spans="2:35">
      <c r="G22" t="str">
        <v>f_flood</v>
      </c>
      <c r="H22" t="str">
        <v>xol_1</v>
      </c>
      <c r="I22" s="10" t="str">
        <v>property</v>
      </c>
      <c r="J22" s="10">
        <v>3306652.2448630128</v>
      </c>
      <c r="K22" s="10">
        <v>1007375.2371363522</v>
      </c>
      <c r="L22" s="10">
        <v>805900.18970908178</v>
      </c>
      <c r="M22" s="10">
        <v>241770.05691272454</v>
      </c>
      <c r="N22" s="10">
        <v>564130.13279635727</v>
      </c>
      <c r="O22" s="10" t="str">
        <v/>
      </c>
      <c r="P22" s="10" t="str">
        <v/>
      </c>
      <c r="Q22" s="10" t="str">
        <v/>
      </c>
      <c r="R22" s="10" t="str">
        <v/>
      </c>
      <c r="S22" s="10" t="str">
        <v>H</v>
      </c>
      <c r="T22" s="10">
        <v>480000</v>
      </c>
    </row>
    <row r="23" spans="2:35">
      <c r="G23" t="str">
        <v>f_flood</v>
      </c>
      <c r="H23" t="str">
        <v>xol_2</v>
      </c>
      <c r="I23" s="10" t="str">
        <v>motor</v>
      </c>
      <c r="J23" s="10">
        <v>3258234.6472602733</v>
      </c>
      <c r="K23" s="10">
        <v>992624.76286364789</v>
      </c>
      <c r="L23" s="10">
        <v>992624.76286364789</v>
      </c>
      <c r="M23" s="10">
        <v>198524.95257272958</v>
      </c>
      <c r="N23" s="10">
        <v>794099.81029091834</v>
      </c>
      <c r="O23" s="10" t="str">
        <v/>
      </c>
      <c r="P23" s="10" t="str">
        <v/>
      </c>
      <c r="Q23" s="10" t="str">
        <v/>
      </c>
      <c r="R23" s="10" t="str">
        <v/>
      </c>
      <c r="S23" s="10" t="str">
        <v>B</v>
      </c>
      <c r="T23" s="10">
        <v>701679.64058219153</v>
      </c>
    </row>
    <row r="24" spans="2:35">
      <c r="G24" t="str">
        <v>f_flood</v>
      </c>
      <c r="H24" t="str">
        <v>xol_2</v>
      </c>
      <c r="I24" s="10" t="str">
        <v>property</v>
      </c>
      <c r="J24" s="10">
        <v>3306652.2448630128</v>
      </c>
      <c r="K24" s="10">
        <v>1007375.2371363522</v>
      </c>
      <c r="L24" s="10">
        <v>1007375.2371363522</v>
      </c>
      <c r="M24" s="10">
        <v>201475.04742727045</v>
      </c>
      <c r="N24" s="10">
        <v>805900.18970908178</v>
      </c>
      <c r="O24" s="10" t="str">
        <v/>
      </c>
      <c r="P24" s="10" t="str">
        <v/>
      </c>
      <c r="Q24" s="10" t="str">
        <v/>
      </c>
      <c r="R24" s="10" t="str">
        <v/>
      </c>
      <c r="S24" s="10" t="str">
        <v>D</v>
      </c>
      <c r="T24" s="10">
        <v>704199.10145547858</v>
      </c>
    </row>
    <row r="25" spans="2:35">
      <c r="G25" t="str">
        <v>f_flood</v>
      </c>
      <c r="H25" t="str">
        <v>xol_3</v>
      </c>
      <c r="I25" s="10" t="str">
        <v>motor</v>
      </c>
      <c r="J25" s="10">
        <v>3258234.6472602733</v>
      </c>
      <c r="K25" s="10">
        <v>776672.74010115373</v>
      </c>
      <c r="L25" s="10">
        <v>776672.74010115373</v>
      </c>
      <c r="M25" s="10">
        <v>77667.274010115376</v>
      </c>
      <c r="N25" s="10">
        <v>699005.46609103831</v>
      </c>
      <c r="O25" s="10" t="str">
        <v/>
      </c>
      <c r="P25" s="10" t="str">
        <v/>
      </c>
      <c r="Q25" s="10" t="str">
        <v/>
      </c>
      <c r="R25" s="10" t="str">
        <v/>
      </c>
      <c r="S25" s="10" t="str">
        <v>I</v>
      </c>
      <c r="T25" s="10">
        <v>422519.46087328711</v>
      </c>
      <c r="V25" s="85" t="s">
        <v>475</v>
      </c>
      <c r="W25" s="85" t="s">
        <v>500</v>
      </c>
    </row>
    <row r="26" spans="2:35">
      <c r="G26" t="str">
        <v>f_flood</v>
      </c>
      <c r="H26" t="str">
        <v>xol_3</v>
      </c>
      <c r="I26" s="10" t="str">
        <v>property</v>
      </c>
      <c r="J26" s="10">
        <v>3306652.2448630128</v>
      </c>
      <c r="K26" s="10">
        <v>788214.15202213207</v>
      </c>
      <c r="L26" s="10">
        <v>788214.15202213207</v>
      </c>
      <c r="M26" s="10">
        <v>78821.415202213218</v>
      </c>
      <c r="N26" s="10">
        <v>709392.73681991885</v>
      </c>
      <c r="O26" s="10" t="str">
        <v/>
      </c>
      <c r="P26" s="10" t="str">
        <v/>
      </c>
      <c r="Q26" s="10" t="str">
        <v/>
      </c>
      <c r="R26" s="10" t="str">
        <v/>
      </c>
      <c r="S26" s="10" t="str">
        <v>A</v>
      </c>
      <c r="T26" s="10">
        <v>3968738.2996221385</v>
      </c>
      <c r="V26" s="128" t="str" cm="1">
        <f t="array" ref="V26:W35">_xlfn.PIVOTBY(
    _xlfn._xlws.FILTER(_xlfn.CHOOSECOLS(_xlfn.ANCHORARRAY(G7),13), _xlfn.CHOOSECOLS(_xlfn.ANCHORARRAY(G7),13)&lt;&gt;""),
    ,
    _xlfn._xlws.FILTER(_xlfn.CHOOSECOLS(_xlfn.ANCHORARRAY(G7),14), _xlfn.CHOOSECOLS(_xlfn.ANCHORARRAY(G7),13)&lt;&gt;""),
    _xleta.SUM
)</f>
        <v>A</v>
      </c>
      <c r="W26" s="10">
        <v>71863737.209173471</v>
      </c>
    </row>
    <row r="27" spans="2:35">
      <c r="G27" t="str">
        <v>f_flood</v>
      </c>
      <c r="H27" t="str">
        <v>later_prop</v>
      </c>
      <c r="I27" s="10" t="str">
        <v>motor</v>
      </c>
      <c r="J27" s="10">
        <v>496312.38143182348</v>
      </c>
      <c r="K27" s="10">
        <v>347418.6670022764</v>
      </c>
      <c r="L27" s="10">
        <v>347418.6670022764</v>
      </c>
      <c r="M27" s="10">
        <v>0</v>
      </c>
      <c r="N27" s="10">
        <v>347418.6670022764</v>
      </c>
      <c r="O27" s="10" t="str">
        <v/>
      </c>
      <c r="P27" s="10" t="str">
        <v/>
      </c>
      <c r="Q27" s="10" t="str">
        <v/>
      </c>
      <c r="R27" s="10" t="str">
        <v/>
      </c>
      <c r="S27" s="10" t="str">
        <v/>
      </c>
      <c r="T27" s="10" t="str">
        <v/>
      </c>
      <c r="V27" s="128" t="str">
        <v>B</v>
      </c>
      <c r="W27" s="10">
        <v>12951679.640582193</v>
      </c>
    </row>
    <row r="28" spans="2:35">
      <c r="G28" t="str">
        <v>horizontal</v>
      </c>
      <c r="H28" t="str">
        <v>xol_3</v>
      </c>
      <c r="I28" s="10" t="str">
        <v>motor</v>
      </c>
      <c r="J28" s="10">
        <v>34041718.632228456</v>
      </c>
      <c r="K28" s="10">
        <v>5673619.7720380761</v>
      </c>
      <c r="L28" s="10">
        <v>5673619.7720380761</v>
      </c>
      <c r="M28" s="10">
        <v>567361.97720380756</v>
      </c>
      <c r="N28" s="10">
        <v>5106257.7948342683</v>
      </c>
      <c r="O28" s="10">
        <v>1</v>
      </c>
      <c r="P28" s="10">
        <v>42263823.351083055</v>
      </c>
      <c r="Q28" s="10">
        <v>41222976.588583052</v>
      </c>
      <c r="R28" s="10">
        <v>1980000</v>
      </c>
      <c r="S28" s="10" t="str">
        <v>D</v>
      </c>
      <c r="T28" s="10">
        <v>4500000</v>
      </c>
      <c r="V28" s="128" t="str">
        <v>C</v>
      </c>
      <c r="W28" s="10">
        <v>11060763.805479452</v>
      </c>
    </row>
    <row r="29" spans="2:35">
      <c r="G29" t="str">
        <v>horizontal</v>
      </c>
      <c r="H29" t="str">
        <v>xol_3</v>
      </c>
      <c r="I29" s="10" t="str">
        <v>property</v>
      </c>
      <c r="J29" s="10">
        <v>25958281.367771544</v>
      </c>
      <c r="K29" s="10">
        <v>4326380.2279619239</v>
      </c>
      <c r="L29" s="10">
        <v>4326380.2279619239</v>
      </c>
      <c r="M29" s="10">
        <v>432638.02279619244</v>
      </c>
      <c r="N29" s="10">
        <v>3893742.2051657317</v>
      </c>
      <c r="O29" s="10">
        <v>2</v>
      </c>
      <c r="P29" s="10">
        <v>4283188.2354954267</v>
      </c>
      <c r="Q29" s="10">
        <v>3800521.9293738506</v>
      </c>
      <c r="R29" s="10">
        <v>536488.68921232864</v>
      </c>
      <c r="S29" s="10" t="str">
        <v>I</v>
      </c>
      <c r="T29" s="10">
        <v>2700000</v>
      </c>
      <c r="V29" s="128" t="str">
        <v>D</v>
      </c>
      <c r="W29" s="10">
        <v>7454199.101455478</v>
      </c>
    </row>
    <row r="30" spans="2:35">
      <c r="G30" t="str">
        <v>horizontal</v>
      </c>
      <c r="H30" t="str">
        <v>xol_4</v>
      </c>
      <c r="I30" s="10" t="str">
        <v>motor</v>
      </c>
      <c r="J30" s="10">
        <v>34041718.632228456</v>
      </c>
      <c r="K30" s="10">
        <v>11347239.544076152</v>
      </c>
      <c r="L30" s="10">
        <v>11347239.544076152</v>
      </c>
      <c r="M30" s="10">
        <v>319205.78648789524</v>
      </c>
      <c r="N30" s="10">
        <v>11028033.757588256</v>
      </c>
      <c r="O30" s="10">
        <v>3</v>
      </c>
      <c r="P30" s="10">
        <v>54147310.503474854</v>
      </c>
      <c r="Q30" s="10">
        <v>52507315.911651216</v>
      </c>
      <c r="R30" s="10">
        <v>1380000</v>
      </c>
      <c r="S30" s="10" t="str">
        <v>E</v>
      </c>
      <c r="T30" s="10">
        <v>13650000</v>
      </c>
      <c r="V30" s="128" t="str">
        <v>E</v>
      </c>
      <c r="W30" s="10">
        <v>20300000</v>
      </c>
    </row>
    <row r="31" spans="2:35">
      <c r="G31" t="str">
        <v>horizontal</v>
      </c>
      <c r="H31" t="str">
        <v>xol_4</v>
      </c>
      <c r="I31" s="10" t="str">
        <v>property</v>
      </c>
      <c r="J31" s="10">
        <v>25958281.367771544</v>
      </c>
      <c r="K31" s="10">
        <v>8652760.4559238479</v>
      </c>
      <c r="L31" s="10">
        <v>8652760.4559238479</v>
      </c>
      <c r="M31" s="10">
        <v>180794.21351210476</v>
      </c>
      <c r="N31" s="10">
        <v>8471966.2424117438</v>
      </c>
      <c r="O31" s="10">
        <v>4</v>
      </c>
      <c r="P31" s="10">
        <v>4283188.2354954267</v>
      </c>
      <c r="Q31" s="10">
        <v>3800521.9293738506</v>
      </c>
      <c r="R31" s="10">
        <v>536488.68921232864</v>
      </c>
      <c r="S31" s="10" t="str">
        <v>F</v>
      </c>
      <c r="T31" s="10">
        <v>7960000.0000000009</v>
      </c>
      <c r="V31" s="128" t="str">
        <v>F</v>
      </c>
      <c r="W31" s="10">
        <v>11920000.000000002</v>
      </c>
    </row>
    <row r="32" spans="2:35">
      <c r="G32" t="str">
        <v>horizontal</v>
      </c>
      <c r="H32" t="str">
        <v>xol_5</v>
      </c>
      <c r="I32" s="10" t="str">
        <v>motor</v>
      </c>
      <c r="J32" s="10">
        <v>34041718.632228456</v>
      </c>
      <c r="K32" s="10">
        <v>11347239.544076152</v>
      </c>
      <c r="L32" s="10">
        <v>11347239.544076152</v>
      </c>
      <c r="M32" s="10">
        <v>63841.157297579048</v>
      </c>
      <c r="N32" s="10">
        <v>11283398.386778573</v>
      </c>
      <c r="O32" s="10" t="str">
        <v/>
      </c>
      <c r="P32" s="10" t="str">
        <v/>
      </c>
      <c r="Q32" s="10" t="str">
        <v/>
      </c>
      <c r="R32" s="10" t="str">
        <v/>
      </c>
      <c r="S32" s="10" t="str">
        <v>B</v>
      </c>
      <c r="T32" s="10">
        <v>8455000.0000000019</v>
      </c>
      <c r="V32" s="128" t="str">
        <v>G</v>
      </c>
      <c r="W32" s="10">
        <v>1680000</v>
      </c>
    </row>
    <row r="33" spans="7:23">
      <c r="G33" t="str">
        <v>horizontal</v>
      </c>
      <c r="H33" t="str">
        <v>xol_5</v>
      </c>
      <c r="I33" s="10" t="str">
        <v>property</v>
      </c>
      <c r="J33" s="10">
        <v>25958281.367771544</v>
      </c>
      <c r="K33" s="10">
        <v>8652760.4559238479</v>
      </c>
      <c r="L33" s="10">
        <v>8652760.4559238479</v>
      </c>
      <c r="M33" s="10">
        <v>36158.842702420952</v>
      </c>
      <c r="N33" s="10">
        <v>8616601.6132214274</v>
      </c>
      <c r="O33" s="10" t="str">
        <v/>
      </c>
      <c r="P33" s="10" t="str">
        <v/>
      </c>
      <c r="Q33" s="10" t="str">
        <v/>
      </c>
      <c r="R33" s="10" t="str">
        <v/>
      </c>
      <c r="S33" s="10" t="str">
        <v>G</v>
      </c>
      <c r="T33" s="10">
        <v>1120000</v>
      </c>
      <c r="V33" s="128" t="str">
        <v>H</v>
      </c>
      <c r="W33" s="10">
        <v>2055572.8541095885</v>
      </c>
    </row>
    <row r="34" spans="7:23">
      <c r="G34" t="str">
        <v>horizontal</v>
      </c>
      <c r="H34" t="str">
        <v>prop</v>
      </c>
      <c r="I34" s="10" t="str">
        <v>property</v>
      </c>
      <c r="J34" s="10">
        <v>81846958.662671179</v>
      </c>
      <c r="K34" s="10">
        <v>40923479.331335589</v>
      </c>
      <c r="L34" s="10">
        <v>38877305.364768803</v>
      </c>
      <c r="M34" s="10">
        <v>0</v>
      </c>
      <c r="N34" s="10">
        <v>38877305.364768803</v>
      </c>
      <c r="O34" s="10" t="str">
        <v/>
      </c>
      <c r="P34" s="10" t="str">
        <v/>
      </c>
      <c r="Q34" s="10" t="str">
        <v/>
      </c>
      <c r="R34" s="10" t="str">
        <v/>
      </c>
      <c r="S34" s="10" t="str">
        <v>C</v>
      </c>
      <c r="T34" s="10">
        <v>7040763.805479452</v>
      </c>
      <c r="V34" s="128" t="str">
        <v>I</v>
      </c>
      <c r="W34" s="10">
        <v>4472519.4608732872</v>
      </c>
    </row>
    <row r="35" spans="7:23">
      <c r="G35" t="str">
        <v>horizontal</v>
      </c>
      <c r="H35" t="str">
        <v>xol_1</v>
      </c>
      <c r="I35" s="10" t="str">
        <v>motor</v>
      </c>
      <c r="J35" s="10">
        <v>37299953.279488727</v>
      </c>
      <c r="K35" s="10">
        <v>4254697.4345425265</v>
      </c>
      <c r="L35" s="10">
        <v>3403757.9476340208</v>
      </c>
      <c r="M35" s="10">
        <v>1021127.3842902062</v>
      </c>
      <c r="N35" s="10">
        <v>2382630.5633438146</v>
      </c>
      <c r="O35" s="10" t="str">
        <v/>
      </c>
      <c r="P35" s="10" t="str">
        <v/>
      </c>
      <c r="Q35" s="10" t="str">
        <v/>
      </c>
      <c r="R35" s="10" t="str">
        <v/>
      </c>
      <c r="S35" s="10" t="str">
        <v>H</v>
      </c>
      <c r="T35" s="10">
        <v>1095572.8541095885</v>
      </c>
      <c r="V35" s="128" t="str">
        <v>Total</v>
      </c>
      <c r="W35" s="10">
        <v>143758472.07167345</v>
      </c>
    </row>
    <row r="36" spans="7:23">
      <c r="G36" t="str">
        <v>horizontal</v>
      </c>
      <c r="H36" t="str">
        <v>xol_1</v>
      </c>
      <c r="I36" s="10" t="str">
        <v>property</v>
      </c>
      <c r="J36" s="10">
        <v>29264933.612634558</v>
      </c>
      <c r="K36" s="10">
        <v>3745302.565457474</v>
      </c>
      <c r="L36" s="10">
        <v>2996242.0523659792</v>
      </c>
      <c r="M36" s="10">
        <v>898872.61570979375</v>
      </c>
      <c r="N36" s="10">
        <v>2097369.4366561854</v>
      </c>
      <c r="O36" s="10" t="str">
        <v/>
      </c>
      <c r="P36" s="10" t="str">
        <v/>
      </c>
      <c r="Q36" s="10" t="str">
        <v/>
      </c>
      <c r="R36" s="10" t="str">
        <v/>
      </c>
      <c r="S36" s="10" t="str">
        <v>A</v>
      </c>
      <c r="T36" s="10">
        <v>50377022.320968278</v>
      </c>
    </row>
    <row r="37" spans="7:23">
      <c r="G37" t="str">
        <v>horizontal</v>
      </c>
      <c r="H37" t="str">
        <v>xol_2</v>
      </c>
      <c r="I37" s="10" t="str">
        <v>motor</v>
      </c>
      <c r="J37" s="10">
        <v>37299953.279488727</v>
      </c>
      <c r="K37" s="10">
        <v>2549808.2674845597</v>
      </c>
      <c r="L37" s="10">
        <v>2549808.2674845597</v>
      </c>
      <c r="M37" s="10">
        <v>509961.65349691204</v>
      </c>
      <c r="N37" s="10">
        <v>2039846.6139876479</v>
      </c>
      <c r="O37" s="10" t="str">
        <v/>
      </c>
      <c r="P37" s="10" t="str">
        <v/>
      </c>
      <c r="Q37" s="10" t="str">
        <v/>
      </c>
      <c r="R37" s="10" t="str">
        <v/>
      </c>
      <c r="S37" s="10" t="str">
        <v/>
      </c>
      <c r="T37" s="10" t="str">
        <v/>
      </c>
    </row>
    <row r="38" spans="7:23">
      <c r="G38" t="str">
        <v>horizontal</v>
      </c>
      <c r="H38" t="str">
        <v>xol_2</v>
      </c>
      <c r="I38" s="10" t="str">
        <v>property</v>
      </c>
      <c r="J38" s="10">
        <v>29264933.612634558</v>
      </c>
      <c r="K38" s="10">
        <v>2015078.6246387258</v>
      </c>
      <c r="L38" s="10">
        <v>2015078.6246387258</v>
      </c>
      <c r="M38" s="10">
        <v>403015.72492774512</v>
      </c>
      <c r="N38" s="10">
        <v>1612062.8997109805</v>
      </c>
      <c r="O38" s="10" t="str">
        <v/>
      </c>
      <c r="P38" s="10" t="str">
        <v/>
      </c>
      <c r="Q38" s="10" t="str">
        <v/>
      </c>
      <c r="R38" s="10" t="str">
        <v/>
      </c>
      <c r="S38" s="10" t="str">
        <v/>
      </c>
      <c r="T38" s="10" t="str">
        <v/>
      </c>
    </row>
    <row r="39" spans="7:23">
      <c r="G39" t="str">
        <v>horizontal</v>
      </c>
      <c r="H39" t="str">
        <v>later_prop</v>
      </c>
      <c r="I39" s="10" t="str">
        <v>motor</v>
      </c>
      <c r="J39" s="10">
        <v>2127348.7172712651</v>
      </c>
      <c r="K39" s="10">
        <v>1489144.1020898852</v>
      </c>
      <c r="L39" s="10">
        <v>1489144.1020898852</v>
      </c>
      <c r="M39" s="10">
        <v>0</v>
      </c>
      <c r="N39" s="10">
        <v>1489144.1020898852</v>
      </c>
      <c r="O39" s="10" t="str">
        <v/>
      </c>
      <c r="P39" s="10" t="str">
        <v/>
      </c>
      <c r="Q39" s="10" t="str">
        <v/>
      </c>
      <c r="R39" s="10" t="str">
        <v/>
      </c>
      <c r="S39" s="10" t="str">
        <v/>
      </c>
      <c r="T39" s="10" t="str">
        <v/>
      </c>
    </row>
    <row r="40" spans="7:23"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7:23"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7:23"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7:23"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7:23"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7:23"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7:23"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7:23"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7:23"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9:20"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9:20"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9:20"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9:20"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9:20"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9:20"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9:20"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9:20"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9:20"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9:20"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9:20"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9:20"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9:20"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9:20"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9:20"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9:20"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9:20"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9:20"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9:20"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9:20"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9:20"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9:20"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9:20"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9:20"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9:20"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9:20"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9:20"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9:20"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9:20"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9:20"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9:20"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9:20"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9:20"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9:20"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9:20"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9:20"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9:20"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E421-44A1-4820-BD49-06193411D5BA}">
  <sheetPr codeName="Sheet5">
    <tabColor theme="5" tint="0.79998168889431442"/>
  </sheetPr>
  <dimension ref="A1:A3"/>
  <sheetViews>
    <sheetView workbookViewId="0">
      <selection activeCell="N29" sqref="N29"/>
    </sheetView>
  </sheetViews>
  <sheetFormatPr defaultRowHeight="14.5"/>
  <cols>
    <col min="1" max="1" width="1.36328125" customWidth="1"/>
  </cols>
  <sheetData>
    <row r="1" spans="1:1">
      <c r="A1" t="str" cm="1">
        <f t="array" aca="1" ref="A1" ca="1">CELL("filename",A1)</f>
        <v>C:\Sync\git_hub\vba_samplicity\[02_magnus_reinsurance.xlsm]Reinsurance Proof &gt;&gt;&gt;</v>
      </c>
    </row>
    <row r="2" spans="1:1">
      <c r="A2" s="14" t="s">
        <v>206</v>
      </c>
    </row>
    <row r="3" spans="1:1">
      <c r="A3" s="14" t="s">
        <v>438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C925B-9107-4724-BE27-55AB880C256C}">
  <sheetPr codeName="Sheet6"/>
  <dimension ref="A1:BL175"/>
  <sheetViews>
    <sheetView zoomScale="85" zoomScaleNormal="85" workbookViewId="0"/>
  </sheetViews>
  <sheetFormatPr defaultRowHeight="14.5"/>
  <cols>
    <col min="1" max="1" width="1.36328125" customWidth="1"/>
    <col min="2" max="2" width="3" customWidth="1"/>
    <col min="3" max="3" width="17.453125" customWidth="1"/>
    <col min="4" max="8" width="26.453125" customWidth="1"/>
    <col min="9" max="9" width="1.1796875" customWidth="1"/>
    <col min="10" max="14" width="26.453125" customWidth="1"/>
    <col min="15" max="15" width="1.1796875" customWidth="1"/>
    <col min="16" max="16" width="11.81640625" bestFit="1" customWidth="1"/>
    <col min="17" max="19" width="11.81640625" customWidth="1"/>
    <col min="20" max="20" width="1.1796875" customWidth="1"/>
    <col min="21" max="25" width="18.36328125" customWidth="1"/>
    <col min="26" max="26" width="1.1796875" customWidth="1"/>
    <col min="27" max="33" width="18.36328125" customWidth="1"/>
    <col min="34" max="34" width="20.1796875" customWidth="1"/>
    <col min="35" max="35" width="18.36328125" customWidth="1"/>
    <col min="36" max="36" width="1.1796875" customWidth="1"/>
    <col min="37" max="43" width="18.36328125" customWidth="1"/>
    <col min="44" max="44" width="1.08984375" customWidth="1"/>
    <col min="45" max="45" width="18.36328125" customWidth="1"/>
    <col min="46" max="46" width="20.1796875" customWidth="1"/>
    <col min="47" max="48" width="18.36328125" customWidth="1"/>
    <col min="49" max="49" width="11.90625" customWidth="1"/>
    <col min="50" max="50" width="1.08984375" customWidth="1"/>
    <col min="51" max="51" width="15" bestFit="1" customWidth="1"/>
    <col min="52" max="52" width="16.1796875" bestFit="1" customWidth="1"/>
    <col min="53" max="53" width="13.36328125" bestFit="1" customWidth="1"/>
    <col min="54" max="54" width="13.90625" bestFit="1" customWidth="1"/>
    <col min="55" max="57" width="21.7265625" customWidth="1"/>
    <col min="58" max="58" width="13.36328125" bestFit="1" customWidth="1"/>
    <col min="59" max="59" width="15" style="10" bestFit="1" customWidth="1"/>
    <col min="60" max="60" width="16.1796875" style="10" bestFit="1" customWidth="1"/>
    <col min="61" max="61" width="13.36328125" style="10" bestFit="1" customWidth="1"/>
    <col min="62" max="62" width="7.1796875" style="10" bestFit="1" customWidth="1"/>
    <col min="63" max="63" width="13.453125" style="10" bestFit="1" customWidth="1"/>
  </cols>
  <sheetData>
    <row r="1" spans="1:8">
      <c r="A1" t="str" cm="1">
        <f t="array" aca="1" ref="A1" ca="1">CELL("filename",A1)</f>
        <v>C:\Sync\git_hub\vba_samplicity\[02_magnus_reinsurance.xlsm]Reinsurance Calculation</v>
      </c>
    </row>
    <row r="2" spans="1:8">
      <c r="A2" s="14" t="s">
        <v>206</v>
      </c>
      <c r="B2" s="14"/>
    </row>
    <row r="3" spans="1:8">
      <c r="A3" s="14" t="s">
        <v>450</v>
      </c>
      <c r="B3" s="14"/>
    </row>
    <row r="4" spans="1:8">
      <c r="A4" s="14"/>
      <c r="B4" s="14"/>
    </row>
    <row r="5" spans="1:8">
      <c r="A5" s="14"/>
      <c r="B5" s="14"/>
      <c r="C5" s="1" t="s">
        <v>462</v>
      </c>
      <c r="D5" s="102">
        <f>Summary!$C$5</f>
        <v>3</v>
      </c>
    </row>
    <row r="6" spans="1:8">
      <c r="A6" s="14"/>
      <c r="B6" s="14"/>
      <c r="C6" s="1" t="s">
        <v>465</v>
      </c>
      <c r="D6" s="102" t="str">
        <f>CHOOSE(D5,Reinsurance!$B$8,Reinsurance!$B$11,Reinsurance!$B$14)</f>
        <v>horizontal</v>
      </c>
    </row>
    <row r="7" spans="1:8">
      <c r="A7" s="14"/>
      <c r="B7" s="14"/>
    </row>
    <row r="8" spans="1:8">
      <c r="A8" s="14"/>
      <c r="B8" s="14"/>
      <c r="C8" s="14" t="s">
        <v>451</v>
      </c>
    </row>
    <row r="9" spans="1:8">
      <c r="A9" s="14"/>
      <c r="B9" s="14"/>
    </row>
    <row r="10" spans="1:8">
      <c r="D10" s="86" t="s">
        <v>436</v>
      </c>
      <c r="E10" s="86" t="s">
        <v>25</v>
      </c>
      <c r="F10" s="86" t="s">
        <v>26</v>
      </c>
      <c r="G10" s="86"/>
      <c r="H10" s="86"/>
    </row>
    <row r="11" spans="1:8">
      <c r="C11" s="1" t="s">
        <v>446</v>
      </c>
      <c r="D11" s="88" cm="1">
        <f t="array" ref="D11:F14">CHOOSE(D5,Reinsurance!$C$8:$E$8,Reinsurance!$C$11:$E$11,Reinsurance!$C$14:$E$17)</f>
        <v>48263134</v>
      </c>
      <c r="E11" s="88">
        <v>22629263.5</v>
      </c>
      <c r="F11" s="88">
        <v>25633870.5</v>
      </c>
      <c r="G11" s="88"/>
      <c r="H11" s="88"/>
    </row>
    <row r="12" spans="1:8">
      <c r="C12" s="1" t="s">
        <v>447</v>
      </c>
      <c r="D12" s="103">
        <v>4935769.5684931502</v>
      </c>
      <c r="E12" s="103">
        <v>1629117.3236301371</v>
      </c>
      <c r="F12" s="103">
        <v>3306652.2448630137</v>
      </c>
      <c r="G12" s="103"/>
      <c r="H12" s="103"/>
    </row>
    <row r="13" spans="1:8">
      <c r="C13" s="1" t="s">
        <v>448</v>
      </c>
      <c r="D13" s="103">
        <v>74036543.527397245</v>
      </c>
      <c r="E13" s="103">
        <v>24436759.8544521</v>
      </c>
      <c r="F13" s="103">
        <v>49599783.672945149</v>
      </c>
      <c r="G13" s="103"/>
      <c r="H13" s="103"/>
    </row>
    <row r="14" spans="1:8">
      <c r="C14" s="1" t="s">
        <v>449</v>
      </c>
      <c r="D14" s="104">
        <v>4935769.5684931502</v>
      </c>
      <c r="E14" s="104">
        <v>1629117.3236301371</v>
      </c>
      <c r="F14" s="104">
        <v>3306652.2448630137</v>
      </c>
      <c r="G14" s="104"/>
      <c r="H14" s="104"/>
    </row>
    <row r="17" spans="3:63">
      <c r="C17" s="89" t="s">
        <v>452</v>
      </c>
    </row>
    <row r="19" spans="3:63">
      <c r="D19" s="86" t="str">
        <f>D10</f>
        <v>__overall__</v>
      </c>
      <c r="E19" s="86" t="str">
        <f>E10</f>
        <v>motor</v>
      </c>
      <c r="F19" s="86" t="str">
        <f>F10</f>
        <v>prop</v>
      </c>
      <c r="G19" s="86">
        <f>G10</f>
        <v>0</v>
      </c>
      <c r="H19" s="86">
        <f>H10</f>
        <v>0</v>
      </c>
    </row>
    <row r="20" spans="3:63">
      <c r="C20" s="1" t="s">
        <v>446</v>
      </c>
      <c r="D20" s="88">
        <f>D11</f>
        <v>48263134</v>
      </c>
      <c r="E20" s="88">
        <f>IFERROR(E11/SUM($E11:$F11)*$D11,0)</f>
        <v>22629263.5</v>
      </c>
      <c r="F20" s="88">
        <f t="shared" ref="F20:H23" si="0">IFERROR(F11/SUM($E11:$F11)*$D11,0)</f>
        <v>25633870.5</v>
      </c>
      <c r="G20" s="88">
        <f t="shared" si="0"/>
        <v>0</v>
      </c>
      <c r="H20" s="88">
        <f t="shared" si="0"/>
        <v>0</v>
      </c>
      <c r="V20" s="22"/>
    </row>
    <row r="21" spans="3:63">
      <c r="C21" s="1" t="s">
        <v>447</v>
      </c>
      <c r="D21" s="103">
        <f>D12</f>
        <v>4935769.5684931502</v>
      </c>
      <c r="E21" s="103">
        <f>IFERROR(E12/SUM($E12:$F12)*$D12,0)</f>
        <v>1629117.3236301369</v>
      </c>
      <c r="F21" s="103">
        <f t="shared" si="0"/>
        <v>3306652.2448630133</v>
      </c>
      <c r="G21" s="103">
        <f t="shared" si="0"/>
        <v>0</v>
      </c>
      <c r="H21" s="103">
        <f t="shared" si="0"/>
        <v>0</v>
      </c>
    </row>
    <row r="22" spans="3:63">
      <c r="C22" s="1" t="s">
        <v>448</v>
      </c>
      <c r="D22" s="103">
        <f>D13</f>
        <v>74036543.527397245</v>
      </c>
      <c r="E22" s="103">
        <f>IFERROR(E13/SUM($E13:$F13)*$D13,0)</f>
        <v>24436759.8544521</v>
      </c>
      <c r="F22" s="103">
        <f t="shared" si="0"/>
        <v>49599783.672945149</v>
      </c>
      <c r="G22" s="103">
        <f t="shared" si="0"/>
        <v>0</v>
      </c>
      <c r="H22" s="103">
        <f t="shared" si="0"/>
        <v>0</v>
      </c>
    </row>
    <row r="23" spans="3:63">
      <c r="C23" s="1" t="s">
        <v>449</v>
      </c>
      <c r="D23" s="104">
        <f>D14</f>
        <v>4935769.5684931502</v>
      </c>
      <c r="E23" s="104">
        <f>IFERROR(E14/SUM($E14:$F14)*$D14,0)</f>
        <v>1629117.3236301369</v>
      </c>
      <c r="F23" s="104">
        <f t="shared" si="0"/>
        <v>3306652.2448630133</v>
      </c>
      <c r="G23" s="104">
        <f t="shared" si="0"/>
        <v>0</v>
      </c>
      <c r="H23" s="104">
        <f t="shared" si="0"/>
        <v>0</v>
      </c>
    </row>
    <row r="26" spans="3:63">
      <c r="C26" s="89" t="s">
        <v>453</v>
      </c>
    </row>
    <row r="28" spans="3:63">
      <c r="E28" s="93">
        <f>MATCH(E$10,reinsurance_setup!$O$7:$AH$7,0)</f>
        <v>2</v>
      </c>
      <c r="F28" s="93" t="e">
        <f>MATCH(F$10,reinsurance_setup!$O$7:$AH$7,0)</f>
        <v>#N/A</v>
      </c>
      <c r="G28" s="93" t="e">
        <f>MATCH(G$10,reinsurance_setup!$O$7:$AH$7,0)</f>
        <v>#N/A</v>
      </c>
      <c r="H28" s="93" t="e">
        <f>MATCH(H$10,reinsurance_setup!$O$7:$AH$7,0)</f>
        <v>#N/A</v>
      </c>
      <c r="AA28" s="93">
        <v>1</v>
      </c>
      <c r="AB28" s="93">
        <v>2</v>
      </c>
      <c r="AC28" s="93">
        <v>3</v>
      </c>
      <c r="AD28" s="93">
        <v>4</v>
      </c>
      <c r="AE28" s="93">
        <v>5</v>
      </c>
      <c r="AF28" s="93">
        <v>6</v>
      </c>
      <c r="AG28" s="93">
        <v>7</v>
      </c>
      <c r="AH28" s="93">
        <v>8</v>
      </c>
      <c r="AI28" s="93">
        <v>9</v>
      </c>
    </row>
    <row r="30" spans="3:63">
      <c r="C30" s="94">
        <v>1</v>
      </c>
      <c r="D30" s="85" t="str">
        <f>reinsurance_setup!O7</f>
        <v>contract_id</v>
      </c>
      <c r="E30" s="85" t="str" cm="1">
        <f t="array" ref="E30">IFERROR(INDEX(rProgramme,$C30,E$28),"")</f>
        <v>motor</v>
      </c>
      <c r="F30" s="85" t="str" cm="1">
        <f t="array" ref="F30">IFERROR(INDEX(rProgramme,$C30,F$28),"")</f>
        <v/>
      </c>
      <c r="G30" s="85" t="str" cm="1">
        <f t="array" ref="G30">IFERROR(INDEX(rProgramme,$C30,G$28),"")</f>
        <v/>
      </c>
      <c r="H30" s="85" t="str" cm="1">
        <f t="array" ref="H30">IFERROR(INDEX(rProgramme,$C30,H$28),"")</f>
        <v/>
      </c>
      <c r="AA30" s="85" t="s">
        <v>407</v>
      </c>
      <c r="AB30" s="85" t="s">
        <v>408</v>
      </c>
      <c r="AC30" s="85" t="s">
        <v>409</v>
      </c>
      <c r="AD30" s="85" t="s">
        <v>410</v>
      </c>
      <c r="AE30" s="85" t="s">
        <v>411</v>
      </c>
      <c r="AF30" s="85" t="s">
        <v>26</v>
      </c>
      <c r="AG30" s="85" t="s">
        <v>412</v>
      </c>
      <c r="AH30" s="85" t="s">
        <v>413</v>
      </c>
      <c r="AK30" s="85" t="s">
        <v>457</v>
      </c>
      <c r="AL30" s="85" t="s">
        <v>463</v>
      </c>
      <c r="AM30" s="85" t="s">
        <v>491</v>
      </c>
      <c r="BG30"/>
      <c r="BH30"/>
      <c r="BI30"/>
      <c r="BJ30"/>
      <c r="BK30"/>
    </row>
    <row r="31" spans="3:63">
      <c r="C31" s="94">
        <v>2</v>
      </c>
      <c r="D31" s="3" t="str">
        <f>reinsurance_setup!O8</f>
        <v>prop</v>
      </c>
      <c r="E31" s="3" cm="1">
        <f t="array" ref="E31">IFERROR(INDEX(rProgramme,$C31,E$28),"")</f>
        <v>0</v>
      </c>
      <c r="F31" s="3" t="str" cm="1">
        <f t="array" ref="F31">IFERROR(INDEX(rProgramme,$C31,F$28),"")</f>
        <v/>
      </c>
      <c r="G31" s="3" t="str" cm="1">
        <f t="array" ref="G31">IFERROR(INDEX(rProgramme,$C31,G$28),"")</f>
        <v/>
      </c>
      <c r="H31" s="3" t="str" cm="1">
        <f t="array" ref="H31">IFERROR(INDEX(rProgramme,$C31,H$28),"")</f>
        <v/>
      </c>
      <c r="AA31" s="3" t="str" cm="1">
        <f t="array" ref="AA31:AH31">INDEX(rContract,MATCH(D31,reinsurance_setup!$B$7:$B$15,0),0)</f>
        <v>prop</v>
      </c>
      <c r="AB31" s="3" t="str">
        <v>PROP</v>
      </c>
      <c r="AC31" s="12">
        <v>0</v>
      </c>
      <c r="AD31" s="12">
        <v>0</v>
      </c>
      <c r="AE31" s="12">
        <v>500000000</v>
      </c>
      <c r="AF31" s="90">
        <v>0.5</v>
      </c>
      <c r="AG31" s="3">
        <v>0</v>
      </c>
      <c r="AH31" s="90">
        <v>0</v>
      </c>
      <c r="AK31" s="90">
        <f>SUMIFS(reinsurance_setup!$M$8:$M$27,reinsurance_setup!$K$8:$K$27,$AA31)</f>
        <v>0.95</v>
      </c>
      <c r="AL31" s="12">
        <f>IF(AB31="XOL",(AG31+1)*AD31,0)</f>
        <v>0</v>
      </c>
      <c r="AM31" s="12">
        <f>IF(AB31="XOL",(AG31)*AD31*AH31,0)</f>
        <v>0</v>
      </c>
      <c r="BG31"/>
      <c r="BH31"/>
      <c r="BI31"/>
      <c r="BJ31"/>
      <c r="BK31"/>
    </row>
    <row r="32" spans="3:63">
      <c r="C32" s="94">
        <v>3</v>
      </c>
      <c r="D32" s="4" t="str">
        <f>reinsurance_setup!O9</f>
        <v>xol_1</v>
      </c>
      <c r="E32" s="4" cm="1">
        <f t="array" ref="E32">IFERROR(INDEX(rProgramme,$C32,E$28),"")</f>
        <v>2</v>
      </c>
      <c r="F32" s="4" t="str" cm="1">
        <f t="array" ref="F32">IFERROR(INDEX(rProgramme,$C32,F$28),"")</f>
        <v/>
      </c>
      <c r="G32" s="4" t="str" cm="1">
        <f t="array" ref="G32">IFERROR(INDEX(rProgramme,$C32,G$28),"")</f>
        <v/>
      </c>
      <c r="H32" s="4" t="str" cm="1">
        <f t="array" ref="H32">IFERROR(INDEX(rProgramme,$C32,H$28),"")</f>
        <v/>
      </c>
      <c r="AA32" s="4" t="str" cm="1">
        <f t="array" ref="AA32:AH32">INDEX(rContract,MATCH(D32,reinsurance_setup!$B$7:$B$15,0),0)</f>
        <v>xol_1</v>
      </c>
      <c r="AB32" s="4" t="str">
        <v>XOL</v>
      </c>
      <c r="AC32" s="13">
        <v>1000000</v>
      </c>
      <c r="AD32" s="13">
        <v>2000000</v>
      </c>
      <c r="AE32" s="13">
        <v>30000000</v>
      </c>
      <c r="AF32" s="91">
        <v>1</v>
      </c>
      <c r="AG32" s="4">
        <v>5</v>
      </c>
      <c r="AH32" s="91">
        <v>0.3</v>
      </c>
      <c r="AK32" s="91">
        <f>SUMIFS(reinsurance_setup!$M$8:$M$27,reinsurance_setup!$K$8:$K$27,$AA32)</f>
        <v>0.8</v>
      </c>
      <c r="AL32" s="13">
        <f>IF(AB32="XOL",(AG32+1)*AD32,0)</f>
        <v>12000000</v>
      </c>
      <c r="AM32" s="13">
        <f>IF(AB32="XOL",(AG32)*AD32*AH32,0)</f>
        <v>3000000</v>
      </c>
      <c r="BG32"/>
      <c r="BH32"/>
      <c r="BI32"/>
      <c r="BJ32"/>
      <c r="BK32"/>
    </row>
    <row r="33" spans="2:64">
      <c r="C33" s="94">
        <v>4</v>
      </c>
      <c r="D33" s="4" t="str">
        <f>reinsurance_setup!O10</f>
        <v>xol_2</v>
      </c>
      <c r="E33" s="4" cm="1">
        <f t="array" ref="E33">IFERROR(INDEX(rProgramme,$C33,E$28),"")</f>
        <v>2</v>
      </c>
      <c r="F33" s="4" t="str" cm="1">
        <f t="array" ref="F33">IFERROR(INDEX(rProgramme,$C33,F$28),"")</f>
        <v/>
      </c>
      <c r="G33" s="4" t="str" cm="1">
        <f t="array" ref="G33">IFERROR(INDEX(rProgramme,$C33,G$28),"")</f>
        <v/>
      </c>
      <c r="H33" s="4" t="str" cm="1">
        <f t="array" ref="H33">IFERROR(INDEX(rProgramme,$C33,H$28),"")</f>
        <v/>
      </c>
      <c r="AA33" s="4" t="str" cm="1">
        <f t="array" ref="AA33:AH33">INDEX(rContract,MATCH(D33,reinsurance_setup!$B$7:$B$15,0),0)</f>
        <v>xol_2</v>
      </c>
      <c r="AB33" s="4" t="str">
        <v>XOL</v>
      </c>
      <c r="AC33" s="13">
        <v>3000000</v>
      </c>
      <c r="AD33" s="13">
        <v>2000000</v>
      </c>
      <c r="AE33" s="13">
        <v>0</v>
      </c>
      <c r="AF33" s="91">
        <v>1</v>
      </c>
      <c r="AG33" s="4">
        <v>3</v>
      </c>
      <c r="AH33" s="91">
        <v>0.2</v>
      </c>
      <c r="AK33" s="91">
        <f>SUMIFS(reinsurance_setup!$M$8:$M$27,reinsurance_setup!$K$8:$K$27,$AA33)</f>
        <v>1</v>
      </c>
      <c r="AL33" s="13">
        <f>IF(AB33="XOL",(AG33+1)*AD33,0)</f>
        <v>8000000</v>
      </c>
      <c r="AM33" s="13">
        <f>IF(AB33="XOL",(AG33)*AD33*AH33,0)</f>
        <v>1200000</v>
      </c>
      <c r="BG33"/>
      <c r="BH33"/>
      <c r="BI33"/>
      <c r="BJ33"/>
      <c r="BK33"/>
    </row>
    <row r="34" spans="2:64">
      <c r="C34" s="94">
        <v>5</v>
      </c>
      <c r="D34" s="4" t="str">
        <f>reinsurance_setup!O11</f>
        <v>xol_3</v>
      </c>
      <c r="E34" s="4" cm="1">
        <f t="array" ref="E34">IFERROR(INDEX(rProgramme,$C34,E$28),"")</f>
        <v>2</v>
      </c>
      <c r="F34" s="4" t="str" cm="1">
        <f t="array" ref="F34">IFERROR(INDEX(rProgramme,$C34,F$28),"")</f>
        <v/>
      </c>
      <c r="G34" s="4" t="str" cm="1">
        <f t="array" ref="G34">IFERROR(INDEX(rProgramme,$C34,G$28),"")</f>
        <v/>
      </c>
      <c r="H34" s="4" t="str" cm="1">
        <f t="array" ref="H34">IFERROR(INDEX(rProgramme,$C34,H$28),"")</f>
        <v/>
      </c>
      <c r="AA34" s="4" t="str" cm="1">
        <f t="array" ref="AA34:AH34">INDEX(rContract,MATCH(D34,reinsurance_setup!$B$7:$B$15,0),0)</f>
        <v>xol_3</v>
      </c>
      <c r="AB34" s="4" t="str">
        <v>XOL</v>
      </c>
      <c r="AC34" s="13">
        <v>5000000</v>
      </c>
      <c r="AD34" s="13">
        <v>5000000</v>
      </c>
      <c r="AE34" s="13">
        <v>0</v>
      </c>
      <c r="AF34" s="91">
        <v>1</v>
      </c>
      <c r="AG34" s="4">
        <v>3</v>
      </c>
      <c r="AH34" s="91">
        <v>0.1</v>
      </c>
      <c r="AK34" s="91">
        <f>SUMIFS(reinsurance_setup!$M$8:$M$27,reinsurance_setup!$K$8:$K$27,$AA34)</f>
        <v>1</v>
      </c>
      <c r="AL34" s="13">
        <f>IF(AB34="XOL",(AG34+1)*AD34,0)</f>
        <v>20000000</v>
      </c>
      <c r="AM34" s="13">
        <f>IF(AB34="XOL",(AG34)*AD34*AH34,0)</f>
        <v>1500000</v>
      </c>
      <c r="BG34"/>
      <c r="BH34"/>
      <c r="BI34"/>
      <c r="BJ34"/>
      <c r="BK34"/>
    </row>
    <row r="35" spans="2:64">
      <c r="C35" s="94">
        <v>6</v>
      </c>
      <c r="D35" s="4" t="str">
        <f>reinsurance_setup!O12</f>
        <v>xol_4</v>
      </c>
      <c r="E35" s="4" cm="1">
        <f t="array" ref="E35">IFERROR(INDEX(rProgramme,$C35,E$28),"")</f>
        <v>2</v>
      </c>
      <c r="F35" s="4" t="str" cm="1">
        <f t="array" ref="F35">IFERROR(INDEX(rProgramme,$C35,F$28),"")</f>
        <v/>
      </c>
      <c r="G35" s="4" t="str" cm="1">
        <f t="array" ref="G35">IFERROR(INDEX(rProgramme,$C35,G$28),"")</f>
        <v/>
      </c>
      <c r="H35" s="4" t="str" cm="1">
        <f t="array" ref="H35">IFERROR(INDEX(rProgramme,$C35,H$28),"")</f>
        <v/>
      </c>
      <c r="AA35" s="4" t="str" cm="1">
        <f t="array" ref="AA35:AH35">INDEX(rContract,MATCH(D35,reinsurance_setup!$B$7:$B$15,0),0)</f>
        <v>xol_4</v>
      </c>
      <c r="AB35" s="4" t="str">
        <v>XOL</v>
      </c>
      <c r="AC35" s="13">
        <v>10000000</v>
      </c>
      <c r="AD35" s="13">
        <v>10000000</v>
      </c>
      <c r="AE35" s="13">
        <v>0</v>
      </c>
      <c r="AF35" s="91">
        <v>1</v>
      </c>
      <c r="AG35" s="4">
        <v>1</v>
      </c>
      <c r="AH35" s="91">
        <v>0.05</v>
      </c>
      <c r="AK35" s="91">
        <f>SUMIFS(reinsurance_setup!$M$8:$M$27,reinsurance_setup!$K$8:$K$27,$AA35)</f>
        <v>1</v>
      </c>
      <c r="AL35" s="13">
        <f>IF(AB35="XOL",(AG35+1)*AD35,0)</f>
        <v>20000000</v>
      </c>
      <c r="AM35" s="13">
        <f>IF(AB35="XOL",(AG35)*AD35*AH35,0)</f>
        <v>500000</v>
      </c>
      <c r="BG35"/>
      <c r="BH35"/>
      <c r="BI35"/>
      <c r="BJ35"/>
      <c r="BK35"/>
    </row>
    <row r="36" spans="2:64">
      <c r="C36" s="94">
        <v>7</v>
      </c>
      <c r="D36" s="4" t="str">
        <f>reinsurance_setup!O13</f>
        <v>xol_5</v>
      </c>
      <c r="E36" s="4" cm="1">
        <f t="array" ref="E36">IFERROR(INDEX(rProgramme,$C36,E$28),"")</f>
        <v>2</v>
      </c>
      <c r="F36" s="4" t="str" cm="1">
        <f t="array" ref="F36">IFERROR(INDEX(rProgramme,$C36,F$28),"")</f>
        <v/>
      </c>
      <c r="G36" s="4" t="str" cm="1">
        <f t="array" ref="G36">IFERROR(INDEX(rProgramme,$C36,G$28),"")</f>
        <v/>
      </c>
      <c r="H36" s="4" t="str" cm="1">
        <f t="array" ref="H36">IFERROR(INDEX(rProgramme,$C36,H$28),"")</f>
        <v/>
      </c>
      <c r="AA36" s="4" t="str" cm="1">
        <f t="array" ref="AA36:AH36">INDEX(rContract,MATCH(D36,reinsurance_setup!$B$7:$B$15,0),0)</f>
        <v>xol_5</v>
      </c>
      <c r="AB36" s="4" t="str">
        <v>XOL</v>
      </c>
      <c r="AC36" s="13">
        <v>20000000</v>
      </c>
      <c r="AD36" s="13">
        <v>10000000</v>
      </c>
      <c r="AE36" s="13">
        <v>0</v>
      </c>
      <c r="AF36" s="91">
        <v>1</v>
      </c>
      <c r="AG36" s="4">
        <v>1</v>
      </c>
      <c r="AH36" s="91">
        <v>0.01</v>
      </c>
      <c r="AK36" s="91">
        <f>SUMIFS(reinsurance_setup!$M$8:$M$27,reinsurance_setup!$K$8:$K$27,$AA36)</f>
        <v>1</v>
      </c>
      <c r="AL36" s="13">
        <f>IF(AB36="XOL",(AG36+1)*AD36,0)</f>
        <v>20000000</v>
      </c>
      <c r="AM36" s="13">
        <f>IF(AB36="XOL",(AG36)*AD36*AH36,0)</f>
        <v>100000</v>
      </c>
      <c r="BG36"/>
      <c r="BH36"/>
      <c r="BI36"/>
      <c r="BJ36"/>
      <c r="BK36"/>
    </row>
    <row r="37" spans="2:64">
      <c r="C37" s="94">
        <v>8</v>
      </c>
      <c r="D37" s="4" t="str">
        <f>reinsurance_setup!O14</f>
        <v>later_prop</v>
      </c>
      <c r="E37" s="4" cm="1">
        <f t="array" ref="E37">IFERROR(INDEX(rProgramme,$C37,E$28),"")</f>
        <v>3</v>
      </c>
      <c r="F37" s="4" t="str" cm="1">
        <f t="array" ref="F37">IFERROR(INDEX(rProgramme,$C37,F$28),"")</f>
        <v/>
      </c>
      <c r="G37" s="4" t="str" cm="1">
        <f t="array" ref="G37">IFERROR(INDEX(rProgramme,$C37,G$28),"")</f>
        <v/>
      </c>
      <c r="H37" s="4" t="str" cm="1">
        <f t="array" ref="H37">IFERROR(INDEX(rProgramme,$C37,H$28),"")</f>
        <v/>
      </c>
      <c r="AA37" s="4" t="str" cm="1">
        <f t="array" ref="AA37:AH37">INDEX(rContract,MATCH(D37,reinsurance_setup!$B$7:$B$15,0),0)</f>
        <v>later_prop</v>
      </c>
      <c r="AB37" s="4" t="str">
        <v>PROP</v>
      </c>
      <c r="AC37" s="13">
        <v>0</v>
      </c>
      <c r="AD37" s="13">
        <v>0</v>
      </c>
      <c r="AE37" s="13">
        <v>5000000</v>
      </c>
      <c r="AF37" s="91">
        <v>0.7</v>
      </c>
      <c r="AG37" s="4">
        <v>0</v>
      </c>
      <c r="AH37" s="91">
        <v>0</v>
      </c>
      <c r="AK37" s="91">
        <f>SUMIFS(reinsurance_setup!$M$8:$M$27,reinsurance_setup!$K$8:$K$27,$AA37)</f>
        <v>1</v>
      </c>
      <c r="AL37" s="13">
        <f>IF(AB37="XOL",(AG37+1)*AD37,0)</f>
        <v>0</v>
      </c>
      <c r="AM37" s="13">
        <f>IF(AB37="XOL",(AG37)*AD37*AH37,0)</f>
        <v>0</v>
      </c>
      <c r="BG37"/>
      <c r="BH37"/>
      <c r="BI37"/>
      <c r="BJ37"/>
      <c r="BK37"/>
    </row>
    <row r="38" spans="2:64">
      <c r="C38" s="94">
        <v>9</v>
      </c>
      <c r="D38" s="7" t="str">
        <f>reinsurance_setup!O15</f>
        <v>xol_6</v>
      </c>
      <c r="E38" s="7" cm="1">
        <f t="array" ref="E38">IFERROR(INDEX(rProgramme,$C38,E$28),"")</f>
        <v>0</v>
      </c>
      <c r="F38" s="7" t="str" cm="1">
        <f t="array" ref="F38">IFERROR(INDEX(rProgramme,$C38,F$28),"")</f>
        <v/>
      </c>
      <c r="G38" s="7" t="str" cm="1">
        <f t="array" ref="G38">IFERROR(INDEX(rProgramme,$C38,G$28),"")</f>
        <v/>
      </c>
      <c r="H38" s="7" t="str" cm="1">
        <f t="array" ref="H38">IFERROR(INDEX(rProgramme,$C38,H$28),"")</f>
        <v/>
      </c>
      <c r="AA38" s="7" t="str" cm="1">
        <f t="array" ref="AA38:AH38">INDEX(rContract,MATCH(D38,reinsurance_setup!$B$7:$B$15,0),0)</f>
        <v>xol_6</v>
      </c>
      <c r="AB38" s="7" t="str">
        <v>XOL</v>
      </c>
      <c r="AC38" s="62">
        <v>99000</v>
      </c>
      <c r="AD38" s="62">
        <v>1000</v>
      </c>
      <c r="AE38" s="62">
        <v>0</v>
      </c>
      <c r="AF38" s="92">
        <v>1</v>
      </c>
      <c r="AG38" s="7">
        <v>0</v>
      </c>
      <c r="AH38" s="92">
        <v>0</v>
      </c>
      <c r="AK38" s="92">
        <f>SUMIFS(reinsurance_setup!$M$8:$M$27,reinsurance_setup!$K$8:$K$27,$AA38)</f>
        <v>1</v>
      </c>
      <c r="AL38" s="62">
        <f>IF(AB38="XOL",(AG38+1)*AD38,0)</f>
        <v>1000</v>
      </c>
      <c r="AM38" s="62">
        <f>IF(AB38="XOL",(AG38)*AD38*AH38,0)</f>
        <v>0</v>
      </c>
      <c r="BG38"/>
      <c r="BH38"/>
      <c r="BI38"/>
      <c r="BJ38"/>
      <c r="BK38"/>
    </row>
    <row r="39" spans="2:64">
      <c r="BG39"/>
      <c r="BH39"/>
      <c r="BI39"/>
      <c r="BJ39"/>
      <c r="BK39"/>
    </row>
    <row r="40" spans="2:64">
      <c r="C40" s="14" t="s">
        <v>446</v>
      </c>
      <c r="BG40"/>
      <c r="BH40"/>
      <c r="BI40"/>
      <c r="BJ40"/>
      <c r="BK40"/>
      <c r="BL40" s="10"/>
    </row>
    <row r="41" spans="2:64">
      <c r="BG41"/>
      <c r="BH41"/>
      <c r="BI41"/>
      <c r="BJ41"/>
      <c r="BK41"/>
      <c r="BL41" s="10"/>
    </row>
    <row r="42" spans="2:64">
      <c r="D42" s="109" t="s">
        <v>454</v>
      </c>
      <c r="E42" s="109"/>
      <c r="F42" s="109"/>
      <c r="G42" s="109"/>
      <c r="H42" s="109"/>
      <c r="J42" s="109" t="s">
        <v>482</v>
      </c>
      <c r="K42" s="109"/>
      <c r="L42" s="109"/>
      <c r="M42" s="109"/>
      <c r="N42" s="109"/>
      <c r="U42" s="109" t="s">
        <v>468</v>
      </c>
      <c r="V42" s="109"/>
      <c r="W42" s="109"/>
      <c r="X42" s="109"/>
      <c r="Y42" s="109"/>
      <c r="AA42" s="109" t="s">
        <v>492</v>
      </c>
      <c r="AB42" s="109"/>
      <c r="AC42" s="109"/>
      <c r="AD42" s="109"/>
      <c r="AE42" s="109"/>
      <c r="AF42" s="109"/>
      <c r="AG42" s="109"/>
      <c r="AH42" s="109"/>
      <c r="AI42" s="109"/>
      <c r="AS42" s="110" t="s">
        <v>455</v>
      </c>
      <c r="AT42" s="110"/>
      <c r="AU42" s="110"/>
      <c r="AV42" s="110"/>
      <c r="AW42" s="110"/>
      <c r="AY42" s="115" t="s">
        <v>486</v>
      </c>
      <c r="BG42"/>
      <c r="BH42"/>
      <c r="BI42"/>
      <c r="BJ42"/>
      <c r="BK42"/>
      <c r="BL42" s="10"/>
    </row>
    <row r="43" spans="2:64">
      <c r="C43" s="95" t="s">
        <v>407</v>
      </c>
      <c r="D43" s="95" t="str">
        <f>$E$10</f>
        <v>motor</v>
      </c>
      <c r="E43" s="95" t="str">
        <f>$F$10</f>
        <v>prop</v>
      </c>
      <c r="F43" s="85"/>
      <c r="G43" s="85"/>
      <c r="H43" s="85" t="s">
        <v>436</v>
      </c>
      <c r="J43" s="95" t="str">
        <f>$E$10</f>
        <v>motor</v>
      </c>
      <c r="K43" s="95" t="str">
        <f>$F$10</f>
        <v>prop</v>
      </c>
      <c r="L43" s="85"/>
      <c r="M43" s="85"/>
      <c r="N43" s="85" t="s">
        <v>436</v>
      </c>
      <c r="P43" s="95" t="s">
        <v>482</v>
      </c>
      <c r="Q43" s="95" t="s">
        <v>483</v>
      </c>
      <c r="R43" s="95" t="s">
        <v>484</v>
      </c>
      <c r="S43" s="95" t="s">
        <v>485</v>
      </c>
      <c r="U43" s="95" t="str">
        <f>$E$10</f>
        <v>motor</v>
      </c>
      <c r="V43" s="95" t="str">
        <f>$F$10</f>
        <v>prop</v>
      </c>
      <c r="W43" s="85"/>
      <c r="X43" s="85"/>
      <c r="Y43" s="85" t="s">
        <v>436</v>
      </c>
      <c r="AA43" s="85" t="s">
        <v>408</v>
      </c>
      <c r="AB43" s="85" t="s">
        <v>409</v>
      </c>
      <c r="AC43" s="85" t="s">
        <v>410</v>
      </c>
      <c r="AD43" s="85" t="s">
        <v>411</v>
      </c>
      <c r="AE43" s="85" t="s">
        <v>26</v>
      </c>
      <c r="AF43" s="85" t="s">
        <v>413</v>
      </c>
      <c r="AG43" s="85" t="s">
        <v>457</v>
      </c>
      <c r="AH43" s="85" t="s">
        <v>463</v>
      </c>
      <c r="AI43" s="85" t="s">
        <v>491</v>
      </c>
      <c r="AK43" s="85" t="s">
        <v>461</v>
      </c>
      <c r="AL43" s="85" t="s">
        <v>471</v>
      </c>
      <c r="AM43" s="85" t="s">
        <v>459</v>
      </c>
      <c r="AN43" s="85" t="s">
        <v>455</v>
      </c>
      <c r="AO43" s="85" t="s">
        <v>456</v>
      </c>
      <c r="AP43" s="85" t="s">
        <v>460</v>
      </c>
      <c r="AQ43" s="85" t="s">
        <v>458</v>
      </c>
      <c r="AS43" s="77" t="str">
        <f>$E$10</f>
        <v>motor</v>
      </c>
      <c r="AT43" s="77" t="str">
        <f>$F$10</f>
        <v>prop</v>
      </c>
      <c r="AU43" s="77"/>
      <c r="AV43" s="77"/>
      <c r="AW43" s="77" t="s">
        <v>436</v>
      </c>
      <c r="AY43" s="40" t="s">
        <v>493</v>
      </c>
      <c r="BG43"/>
      <c r="BH43"/>
      <c r="BI43"/>
      <c r="BJ43"/>
      <c r="BK43"/>
      <c r="BL43" s="10"/>
    </row>
    <row r="44" spans="2:64">
      <c r="B44" s="93">
        <v>1</v>
      </c>
      <c r="C44" s="96" t="str">
        <f t="shared" ref="C44:C51" si="1">D31</f>
        <v>prop</v>
      </c>
      <c r="D44" s="100">
        <f>E20</f>
        <v>22629263.5</v>
      </c>
      <c r="E44" s="100">
        <f>F20</f>
        <v>25633870.5</v>
      </c>
      <c r="F44" s="100"/>
      <c r="G44" s="100"/>
      <c r="H44" s="100">
        <f>SUM(D44:G44)</f>
        <v>48263134</v>
      </c>
      <c r="J44" s="12" cm="1">
        <f t="array" ref="J44:M44">IF(INDEX($E$31:$H$38,$B44,0)&gt;0,$D44:$G44,0)</f>
        <v>0</v>
      </c>
      <c r="K44" s="12">
        <v>25633870.5</v>
      </c>
      <c r="L44" s="12">
        <v>0</v>
      </c>
      <c r="M44" s="12">
        <v>0</v>
      </c>
      <c r="N44" s="12">
        <f>SUM(_xlfn.ANCHORARRAY(J44))</f>
        <v>25633870.5</v>
      </c>
      <c r="P44" s="12" cm="1">
        <f t="array" ref="P44">INDEX($AE$31:$AE$38,$B44,1)</f>
        <v>500000000</v>
      </c>
      <c r="Q44" s="12" t="b">
        <f>AND(N44&gt;P44,P44&gt;0)</f>
        <v>0</v>
      </c>
      <c r="R44" s="90">
        <f>IF(Q44,P44/N44,1)</f>
        <v>1</v>
      </c>
      <c r="S44" s="12">
        <f>IF(P44&gt;0,MAX(N44-P44,0),0)</f>
        <v>0</v>
      </c>
      <c r="U44" s="12" cm="1">
        <f t="array" ref="U44:X44">_xlfn.ANCHORARRAY(J44)*$R44</f>
        <v>0</v>
      </c>
      <c r="V44" s="12">
        <v>25633870.5</v>
      </c>
      <c r="W44" s="12">
        <v>0</v>
      </c>
      <c r="X44" s="12">
        <v>0</v>
      </c>
      <c r="Y44" s="12">
        <f>N44*$R44</f>
        <v>25633870.5</v>
      </c>
      <c r="AA44" s="12" t="str" cm="1">
        <f t="array" ref="AA44">INDEX(AB$31:AB$38,$B44,1)</f>
        <v>PROP</v>
      </c>
      <c r="AB44" s="12" cm="1">
        <f t="array" ref="AB44">INDEX(AC$31:AC$38,$B44,1)</f>
        <v>0</v>
      </c>
      <c r="AC44" s="12" cm="1">
        <f t="array" ref="AC44">INDEX(AD$31:AD$38,$B44,1)</f>
        <v>0</v>
      </c>
      <c r="AD44" s="12" cm="1">
        <f t="array" ref="AD44">IF(INDEX(AE$31:AE$38,$B44,1)=0,9.9E+300,INDEX(AE$31:AE$38,$B44,1))</f>
        <v>500000000</v>
      </c>
      <c r="AE44" s="90" cm="1">
        <f t="array" ref="AE44">INDEX(AF$31:AF$38,$B44,1)</f>
        <v>0.5</v>
      </c>
      <c r="AF44" s="90" cm="1">
        <f t="array" ref="AF44">INDEX(AH$31:AH$38,$B44,1)</f>
        <v>0</v>
      </c>
      <c r="AG44" s="90" cm="1">
        <f t="array" ref="AG44">INDEX(AK$31:AK$38,$B44,1)</f>
        <v>0.95</v>
      </c>
      <c r="AH44" s="12" cm="1">
        <f t="array" ref="AH44">INDEX(AL$31:AL$38,$B44,1)</f>
        <v>0</v>
      </c>
      <c r="AI44" s="12" cm="1">
        <f t="array" ref="AI44">INDEX(AM$31:AM$38,$B44,1)*AG44</f>
        <v>0</v>
      </c>
      <c r="AK44" s="97"/>
      <c r="AL44" s="97"/>
      <c r="AM44" s="12">
        <f>IF(AA44="PROP",Y44*AE44,MIN(MAX(Y44-AB44,0),AC44)*AE44)</f>
        <v>12816935.25</v>
      </c>
      <c r="AN44" s="12">
        <f>MAX(Y44-AM44,0)</f>
        <v>12816935.25</v>
      </c>
      <c r="AO44" s="12">
        <f>_xlfn.LET(_xlpm.base,MIN(AM44,AD44),
_xlpm.remain,MAX(AH44-AK44,0),
IF(AA44="PROP", _xlpm.base*AG44,MIN(_xlpm.base,_xlpm.remain)*AG44))</f>
        <v>12176088.487499999</v>
      </c>
      <c r="AP44" s="12">
        <f>_xlfn.LET(_xlpm.base,AO44*AF44,
_xlpm.remain,MAX(AI44-AL44,0),
IF(AB44="PROP", 0,MIN(_xlpm.base,_xlpm.remain)))</f>
        <v>0</v>
      </c>
      <c r="AQ44" s="12">
        <f>AO44-AP44</f>
        <v>12176088.487499999</v>
      </c>
      <c r="AR44" s="114"/>
      <c r="AS44" s="12" cm="1">
        <f t="array" ref="AS44:AV44">IF(_xlfn.ANCHORARRAY(U44)&gt;0,$D44:$G44*$R44-_xlfn.ANCHORARRAY(U44)*$AM44/$Y44,$D44:$G44)</f>
        <v>22629263.5</v>
      </c>
      <c r="AT44" s="12">
        <v>12816935.25</v>
      </c>
      <c r="AU44" s="12">
        <v>0</v>
      </c>
      <c r="AV44" s="12">
        <v>0</v>
      </c>
      <c r="AW44" s="100">
        <f>H44-S44-AM44</f>
        <v>35446198.75</v>
      </c>
      <c r="AY44" s="40" t="s">
        <v>487</v>
      </c>
      <c r="BG44"/>
      <c r="BH44"/>
      <c r="BI44"/>
      <c r="BJ44"/>
      <c r="BK44"/>
      <c r="BL44" s="10"/>
    </row>
    <row r="45" spans="2:64">
      <c r="B45" s="93">
        <v>2</v>
      </c>
      <c r="C45" s="96" t="str">
        <f t="shared" si="1"/>
        <v>xol_1</v>
      </c>
      <c r="D45" s="13" cm="1">
        <f t="array" ref="D45">_xlfn.IFS(E32=0,D44,AND(E32=E31,$Q44=FALSE),D44,AND(E32=E31,$Q44=TRUE),U44,E32&gt;MAX(E$31:E31),AS44)</f>
        <v>22629263.5</v>
      </c>
      <c r="E45" s="13" cm="1">
        <f t="array" ref="E45">_xlfn.IFS(F32=0,E44,AND(F32=F31,$Q44=FALSE),E44,AND(F32=F31,$Q44=TRUE),V44,F32&gt;MAX(F$31:F31),AT44)</f>
        <v>25633870.5</v>
      </c>
      <c r="F45" s="13" cm="1">
        <f t="array" ref="F45">_xlfn.IFS(G32=0,F44,AND(G32=G31,$Q44=FALSE),F44,AND(G32=G31,$Q44=TRUE),W44,G32&gt;MAX(G$31:G31),AU44)</f>
        <v>0</v>
      </c>
      <c r="G45" s="13" cm="1">
        <f t="array" ref="G45">_xlfn.IFS(H32=0,G44,AND(H32=H31,$Q44=FALSE),G44,AND(H32=H31,$Q44=TRUE),X44,H32&gt;MAX(H$31:H31),AV44)</f>
        <v>0</v>
      </c>
      <c r="H45" s="13">
        <f t="shared" ref="H45:H51" si="2">SUM(D45:G45)</f>
        <v>48263134</v>
      </c>
      <c r="J45" s="13" cm="1">
        <f t="array" ref="J45:M45">IF(INDEX($E$31:$H$38,$B45,0)&gt;0,$D45:$G45,0)</f>
        <v>22629263.5</v>
      </c>
      <c r="K45" s="13">
        <v>25633870.5</v>
      </c>
      <c r="L45" s="13">
        <v>0</v>
      </c>
      <c r="M45" s="13">
        <v>0</v>
      </c>
      <c r="N45" s="13">
        <f t="shared" ref="N45:N51" si="3">SUM(_xlfn.ANCHORARRAY(J45))</f>
        <v>48263134</v>
      </c>
      <c r="P45" s="13" cm="1">
        <f t="array" ref="P45">INDEX($AE$31:$AE$38,$B45,1)</f>
        <v>30000000</v>
      </c>
      <c r="Q45" s="13" t="b">
        <f t="shared" ref="Q45:Q51" si="4">AND(N45&gt;P45,P45&gt;0)</f>
        <v>1</v>
      </c>
      <c r="R45" s="91">
        <f>IF(Q45,P45/N45,1)</f>
        <v>0.62159245605558888</v>
      </c>
      <c r="S45" s="13">
        <f t="shared" ref="S45:S51" si="5">IF(P45&gt;0,MAX(N45-P45,0),0)</f>
        <v>18263134</v>
      </c>
      <c r="U45" s="13" cm="1">
        <f t="array" ref="U45:X45">_xlfn.ANCHORARRAY(J45)*$R45</f>
        <v>14066179.477694092</v>
      </c>
      <c r="V45" s="13">
        <v>15933820.522305906</v>
      </c>
      <c r="W45" s="13">
        <v>0</v>
      </c>
      <c r="X45" s="13">
        <v>0</v>
      </c>
      <c r="Y45" s="13">
        <f>N45*$R45</f>
        <v>29999999.999999996</v>
      </c>
      <c r="AA45" s="13" t="str" cm="1">
        <f t="array" ref="AA45">INDEX(AB$31:AB$38,$B45,1)</f>
        <v>XOL</v>
      </c>
      <c r="AB45" s="13" cm="1">
        <f t="array" ref="AB45">INDEX(AC$31:AC$38,$B45,1)</f>
        <v>1000000</v>
      </c>
      <c r="AC45" s="13" cm="1">
        <f t="array" ref="AC45">INDEX(AD$31:AD$38,$B45,1)</f>
        <v>2000000</v>
      </c>
      <c r="AD45" s="13" cm="1">
        <f t="array" ref="AD45">IF(INDEX(AE$31:AE$38,$B45,1)=0,9.9E+300,INDEX(AE$31:AE$38,$B45,1))</f>
        <v>30000000</v>
      </c>
      <c r="AE45" s="91" cm="1">
        <f t="array" ref="AE45">INDEX(AF$31:AF$38,$B45,1)</f>
        <v>1</v>
      </c>
      <c r="AF45" s="91" cm="1">
        <f t="array" ref="AF45">INDEX(AH$31:AH$38,$B45,1)</f>
        <v>0.3</v>
      </c>
      <c r="AG45" s="91" cm="1">
        <f t="array" ref="AG45">INDEX(AK$31:AK$38,$B45,1)</f>
        <v>0.8</v>
      </c>
      <c r="AH45" s="13" cm="1">
        <f t="array" ref="AH45">INDEX(AL$31:AL$38,$B45,1)</f>
        <v>12000000</v>
      </c>
      <c r="AI45" s="13" cm="1">
        <f t="array" ref="AI45">INDEX(AM$31:AM$38,$B45,1)*AG45</f>
        <v>2400000</v>
      </c>
      <c r="AK45" s="98"/>
      <c r="AL45" s="98"/>
      <c r="AM45" s="13">
        <f t="shared" ref="AM45:AM51" si="6">IF(AA45="PROP",Y45*AE45,MIN(MAX(Y45-AB45,0),AC45)*AE45)</f>
        <v>2000000</v>
      </c>
      <c r="AN45" s="13">
        <f>MAX(Y45-AM45,0)</f>
        <v>27999999.999999996</v>
      </c>
      <c r="AO45" s="13">
        <f t="shared" ref="AO45:AO51" si="7">_xlfn.LET(_xlpm.base,MIN(AM45,AD45),
_xlpm.remain,MAX(AH45-AK45,0),
IF(AA45="PROP", _xlpm.base*AG45,MIN(_xlpm.base,_xlpm.remain)*AG45))</f>
        <v>1600000</v>
      </c>
      <c r="AP45" s="13">
        <f t="shared" ref="AP45:AP51" si="8">_xlfn.LET(_xlpm.base,AO45*AF45,
_xlpm.remain,MAX(AI45-AL45,0),
IF(AB45="PROP", 0,MIN(_xlpm.base,_xlpm.remain)))</f>
        <v>480000</v>
      </c>
      <c r="AQ45" s="13">
        <f t="shared" ref="AQ45:AQ51" si="9">AO45-AP45</f>
        <v>1120000</v>
      </c>
      <c r="AR45" s="114"/>
      <c r="AS45" s="13" cm="1">
        <f t="array" ref="AS45:AV45">IF(_xlfn.ANCHORARRAY(U45)&gt;0,_xlfn.ANCHORARRAY(AS44)-_xlfn.ANCHORARRAY(U45)*$AM45/$Y45-(1-$R45)*_xlfn.ANCHORARRAY(J45),_xlfn.ANCHORARRAY(AS44))</f>
        <v>13128434.179181153</v>
      </c>
      <c r="AT45" s="13">
        <v>2054630.5708188452</v>
      </c>
      <c r="AU45" s="13">
        <v>0</v>
      </c>
      <c r="AV45" s="13">
        <v>0</v>
      </c>
      <c r="AW45" s="13">
        <f>AW44-S45-AM45</f>
        <v>15183064.75</v>
      </c>
      <c r="BG45"/>
      <c r="BH45"/>
      <c r="BI45"/>
      <c r="BJ45"/>
      <c r="BK45"/>
      <c r="BL45" s="10"/>
    </row>
    <row r="46" spans="2:64">
      <c r="B46" s="93">
        <v>3</v>
      </c>
      <c r="C46" s="96" t="str">
        <f t="shared" si="1"/>
        <v>xol_2</v>
      </c>
      <c r="D46" s="13" cm="1">
        <f t="array" ref="D46">_xlfn.IFS(E33=0,D45,AND(E33=E32,$Q45=FALSE),D45,AND(E33=E32,$Q45=TRUE),U45,E33&gt;MAX(E$31:E32),AS45)</f>
        <v>14066179.477694092</v>
      </c>
      <c r="E46" s="13" cm="1">
        <f t="array" ref="E46">_xlfn.IFS(F33=0,E45,AND(F33=F32,$Q45=FALSE),E45,AND(F33=F32,$Q45=TRUE),V45,F33&gt;MAX(F$31:F32),AT45)</f>
        <v>15933820.522305906</v>
      </c>
      <c r="F46" s="13" cm="1">
        <f t="array" ref="F46">_xlfn.IFS(G33=0,F45,AND(G33=G32,$Q45=FALSE),F45,AND(G33=G32,$Q45=TRUE),W45,G33&gt;MAX(G$31:G32),AU45)</f>
        <v>0</v>
      </c>
      <c r="G46" s="13" cm="1">
        <f t="array" ref="G46">_xlfn.IFS(H33=0,G45,AND(H33=H32,$Q45=FALSE),G45,AND(H33=H32,$Q45=TRUE),X45,H33&gt;MAX(H$31:H32),AV45)</f>
        <v>0</v>
      </c>
      <c r="H46" s="13">
        <f t="shared" si="2"/>
        <v>30000000</v>
      </c>
      <c r="J46" s="13" cm="1">
        <f t="array" ref="J46:M46">IF(INDEX($E$31:$H$38,$B46,0)&gt;0,$D46:$G46,0)</f>
        <v>14066179.477694092</v>
      </c>
      <c r="K46" s="13">
        <v>15933820.522305906</v>
      </c>
      <c r="L46" s="13">
        <v>0</v>
      </c>
      <c r="M46" s="13">
        <v>0</v>
      </c>
      <c r="N46" s="13">
        <f t="shared" si="3"/>
        <v>30000000</v>
      </c>
      <c r="P46" s="13" cm="1">
        <f t="array" ref="P46">INDEX($AE$31:$AE$38,$B46,1)</f>
        <v>0</v>
      </c>
      <c r="Q46" s="13" t="b">
        <f t="shared" si="4"/>
        <v>0</v>
      </c>
      <c r="R46" s="91">
        <f>IF(Q46,P46/N46,1)</f>
        <v>1</v>
      </c>
      <c r="S46" s="13">
        <f t="shared" si="5"/>
        <v>0</v>
      </c>
      <c r="U46" s="13" cm="1">
        <f t="array" ref="U46:X46">_xlfn.ANCHORARRAY(J46)*$R46</f>
        <v>14066179.477694092</v>
      </c>
      <c r="V46" s="13">
        <v>15933820.522305906</v>
      </c>
      <c r="W46" s="13">
        <v>0</v>
      </c>
      <c r="X46" s="13">
        <v>0</v>
      </c>
      <c r="Y46" s="13">
        <f>N46*$R46</f>
        <v>30000000</v>
      </c>
      <c r="AA46" s="13" t="str" cm="1">
        <f t="array" ref="AA46">INDEX(AB$31:AB$38,$B46,1)</f>
        <v>XOL</v>
      </c>
      <c r="AB46" s="13" cm="1">
        <f t="array" ref="AB46">INDEX(AC$31:AC$38,$B46,1)</f>
        <v>3000000</v>
      </c>
      <c r="AC46" s="13" cm="1">
        <f t="array" ref="AC46">INDEX(AD$31:AD$38,$B46,1)</f>
        <v>2000000</v>
      </c>
      <c r="AD46" s="13" cm="1">
        <f t="array" ref="AD46">IF(INDEX(AE$31:AE$38,$B46,1)=0,9.9E+300,INDEX(AE$31:AE$38,$B46,1))</f>
        <v>9.9000000000000002E+300</v>
      </c>
      <c r="AE46" s="91" cm="1">
        <f t="array" ref="AE46">INDEX(AF$31:AF$38,$B46,1)</f>
        <v>1</v>
      </c>
      <c r="AF46" s="91" cm="1">
        <f t="array" ref="AF46">INDEX(AH$31:AH$38,$B46,1)</f>
        <v>0.2</v>
      </c>
      <c r="AG46" s="91" cm="1">
        <f t="array" ref="AG46">INDEX(AK$31:AK$38,$B46,1)</f>
        <v>1</v>
      </c>
      <c r="AH46" s="13" cm="1">
        <f t="array" ref="AH46">INDEX(AL$31:AL$38,$B46,1)</f>
        <v>8000000</v>
      </c>
      <c r="AI46" s="13" cm="1">
        <f t="array" ref="AI46">INDEX(AM$31:AM$38,$B46,1)*AG46</f>
        <v>1200000</v>
      </c>
      <c r="AK46" s="98"/>
      <c r="AL46" s="98"/>
      <c r="AM46" s="13">
        <f t="shared" si="6"/>
        <v>2000000</v>
      </c>
      <c r="AN46" s="13">
        <f>MAX(Y46-AM46,0)</f>
        <v>28000000</v>
      </c>
      <c r="AO46" s="13">
        <f t="shared" si="7"/>
        <v>2000000</v>
      </c>
      <c r="AP46" s="13">
        <f t="shared" si="8"/>
        <v>400000</v>
      </c>
      <c r="AQ46" s="13">
        <f t="shared" si="9"/>
        <v>1600000</v>
      </c>
      <c r="AR46" s="114"/>
      <c r="AS46" s="13" cm="1">
        <f t="array" ref="AS46:AV46">IF(_xlfn.ANCHORARRAY(U46)&gt;0,_xlfn.ANCHORARRAY(AS45)-_xlfn.ANCHORARRAY(U46)*$AM46/$Y46-(1-$R46)*_xlfn.ANCHORARRAY(J46),_xlfn.ANCHORARRAY(AS45))</f>
        <v>12190688.880668214</v>
      </c>
      <c r="AT46" s="13">
        <v>992375.86933178478</v>
      </c>
      <c r="AU46" s="13">
        <v>0</v>
      </c>
      <c r="AV46" s="13">
        <v>0</v>
      </c>
      <c r="AW46" s="13">
        <f t="shared" ref="AW46:AW51" si="10">AW45-S46-AM46</f>
        <v>13183064.75</v>
      </c>
      <c r="BG46"/>
      <c r="BH46"/>
      <c r="BI46"/>
      <c r="BJ46"/>
      <c r="BK46"/>
      <c r="BL46" s="10"/>
    </row>
    <row r="47" spans="2:64">
      <c r="B47" s="93">
        <v>4</v>
      </c>
      <c r="C47" s="96" t="str">
        <f t="shared" si="1"/>
        <v>xol_3</v>
      </c>
      <c r="D47" s="13" cm="1">
        <f t="array" ref="D47">_xlfn.IFS(E34=0,D46,AND(E34=E33,$Q46=FALSE),D46,AND(E34=E33,$Q46=TRUE),U46,E34&gt;MAX(E$31:E33),AS46)</f>
        <v>14066179.477694092</v>
      </c>
      <c r="E47" s="13" cm="1">
        <f t="array" ref="E47">_xlfn.IFS(F34=0,E46,AND(F34=F33,$Q46=FALSE),E46,AND(F34=F33,$Q46=TRUE),V46,F34&gt;MAX(F$31:F33),AT46)</f>
        <v>15933820.522305906</v>
      </c>
      <c r="F47" s="13" cm="1">
        <f t="array" ref="F47">_xlfn.IFS(G34=0,F46,AND(G34=G33,$Q46=FALSE),F46,AND(G34=G33,$Q46=TRUE),W46,G34&gt;MAX(G$31:G33),AU46)</f>
        <v>0</v>
      </c>
      <c r="G47" s="13" cm="1">
        <f t="array" ref="G47">_xlfn.IFS(H34=0,G46,AND(H34=H33,$Q46=FALSE),G46,AND(H34=H33,$Q46=TRUE),X46,H34&gt;MAX(H$31:H33),AV46)</f>
        <v>0</v>
      </c>
      <c r="H47" s="13">
        <f t="shared" si="2"/>
        <v>30000000</v>
      </c>
      <c r="J47" s="13" cm="1">
        <f t="array" ref="J47:M47">IF(INDEX($E$31:$H$38,$B47,0)&gt;0,$D47:$G47,0)</f>
        <v>14066179.477694092</v>
      </c>
      <c r="K47" s="13">
        <v>15933820.522305906</v>
      </c>
      <c r="L47" s="13">
        <v>0</v>
      </c>
      <c r="M47" s="13">
        <v>0</v>
      </c>
      <c r="N47" s="13">
        <f t="shared" si="3"/>
        <v>30000000</v>
      </c>
      <c r="P47" s="13" cm="1">
        <f t="array" ref="P47">INDEX($AE$31:$AE$38,$B47,1)</f>
        <v>0</v>
      </c>
      <c r="Q47" s="13" t="b">
        <f t="shared" si="4"/>
        <v>0</v>
      </c>
      <c r="R47" s="91">
        <f>IF(Q47,P47/N47,1)</f>
        <v>1</v>
      </c>
      <c r="S47" s="13">
        <f t="shared" si="5"/>
        <v>0</v>
      </c>
      <c r="U47" s="13" cm="1">
        <f t="array" ref="U47:X47">_xlfn.ANCHORARRAY(J47)*$R47</f>
        <v>14066179.477694092</v>
      </c>
      <c r="V47" s="13">
        <v>15933820.522305906</v>
      </c>
      <c r="W47" s="13">
        <v>0</v>
      </c>
      <c r="X47" s="13">
        <v>0</v>
      </c>
      <c r="Y47" s="13">
        <f>N47*$R47</f>
        <v>30000000</v>
      </c>
      <c r="AA47" s="13" t="str" cm="1">
        <f t="array" ref="AA47">INDEX(AB$31:AB$38,$B47,1)</f>
        <v>XOL</v>
      </c>
      <c r="AB47" s="13" cm="1">
        <f t="array" ref="AB47">INDEX(AC$31:AC$38,$B47,1)</f>
        <v>5000000</v>
      </c>
      <c r="AC47" s="13" cm="1">
        <f t="array" ref="AC47">INDEX(AD$31:AD$38,$B47,1)</f>
        <v>5000000</v>
      </c>
      <c r="AD47" s="13" cm="1">
        <f t="array" ref="AD47">IF(INDEX(AE$31:AE$38,$B47,1)=0,9.9E+300,INDEX(AE$31:AE$38,$B47,1))</f>
        <v>9.9000000000000002E+300</v>
      </c>
      <c r="AE47" s="91" cm="1">
        <f t="array" ref="AE47">INDEX(AF$31:AF$38,$B47,1)</f>
        <v>1</v>
      </c>
      <c r="AF47" s="91" cm="1">
        <f t="array" ref="AF47">INDEX(AH$31:AH$38,$B47,1)</f>
        <v>0.1</v>
      </c>
      <c r="AG47" s="91" cm="1">
        <f t="array" ref="AG47">INDEX(AK$31:AK$38,$B47,1)</f>
        <v>1</v>
      </c>
      <c r="AH47" s="13" cm="1">
        <f t="array" ref="AH47">INDEX(AL$31:AL$38,$B47,1)</f>
        <v>20000000</v>
      </c>
      <c r="AI47" s="13" cm="1">
        <f t="array" ref="AI47">INDEX(AM$31:AM$38,$B47,1)*AG47</f>
        <v>1500000</v>
      </c>
      <c r="AK47" s="98"/>
      <c r="AL47" s="98"/>
      <c r="AM47" s="13">
        <f t="shared" si="6"/>
        <v>5000000</v>
      </c>
      <c r="AN47" s="13">
        <f>MAX(Y47-AM47,0)</f>
        <v>25000000</v>
      </c>
      <c r="AO47" s="13">
        <f t="shared" si="7"/>
        <v>5000000</v>
      </c>
      <c r="AP47" s="13">
        <f t="shared" si="8"/>
        <v>500000</v>
      </c>
      <c r="AQ47" s="13">
        <f t="shared" si="9"/>
        <v>4500000</v>
      </c>
      <c r="AR47" s="114"/>
      <c r="AS47" s="13" cm="1">
        <f t="array" ref="AS47:AV47">IF(_xlfn.ANCHORARRAY(U47)&gt;0,_xlfn.ANCHORARRAY(AS46)-_xlfn.ANCHORARRAY(U47)*$AM47/$Y47-(1-$R47)*_xlfn.ANCHORARRAY(J47),_xlfn.ANCHORARRAY(AS46))</f>
        <v>9846325.6343858652</v>
      </c>
      <c r="AT47" s="13">
        <v>-1663260.8843858663</v>
      </c>
      <c r="AU47" s="13">
        <v>0</v>
      </c>
      <c r="AV47" s="13">
        <v>0</v>
      </c>
      <c r="AW47" s="13">
        <f t="shared" si="10"/>
        <v>8183064.75</v>
      </c>
      <c r="BG47"/>
      <c r="BH47"/>
      <c r="BI47"/>
      <c r="BJ47"/>
      <c r="BK47"/>
      <c r="BL47" s="10"/>
    </row>
    <row r="48" spans="2:64">
      <c r="B48" s="93">
        <v>5</v>
      </c>
      <c r="C48" s="96" t="str">
        <f t="shared" si="1"/>
        <v>xol_4</v>
      </c>
      <c r="D48" s="13" cm="1">
        <f t="array" ref="D48">_xlfn.IFS(E35=0,D47,AND(E35=E34,$Q47=FALSE),D47,AND(E35=E34,$Q47=TRUE),U47,E35&gt;MAX(E$31:E34),AS47)</f>
        <v>14066179.477694092</v>
      </c>
      <c r="E48" s="13" cm="1">
        <f t="array" ref="E48">_xlfn.IFS(F35=0,E47,AND(F35=F34,$Q47=FALSE),E47,AND(F35=F34,$Q47=TRUE),V47,F35&gt;MAX(F$31:F34),AT47)</f>
        <v>15933820.522305906</v>
      </c>
      <c r="F48" s="13" cm="1">
        <f t="array" ref="F48">_xlfn.IFS(G35=0,F47,AND(G35=G34,$Q47=FALSE),F47,AND(G35=G34,$Q47=TRUE),W47,G35&gt;MAX(G$31:G34),AU47)</f>
        <v>0</v>
      </c>
      <c r="G48" s="13" cm="1">
        <f t="array" ref="G48">_xlfn.IFS(H35=0,G47,AND(H35=H34,$Q47=FALSE),G47,AND(H35=H34,$Q47=TRUE),X47,H35&gt;MAX(H$31:H34),AV47)</f>
        <v>0</v>
      </c>
      <c r="H48" s="13">
        <f t="shared" si="2"/>
        <v>30000000</v>
      </c>
      <c r="J48" s="13" cm="1">
        <f t="array" ref="J48:M48">IF(INDEX($E$31:$H$38,$B48,0)&gt;0,$D48:$G48,0)</f>
        <v>14066179.477694092</v>
      </c>
      <c r="K48" s="13">
        <v>15933820.522305906</v>
      </c>
      <c r="L48" s="13">
        <v>0</v>
      </c>
      <c r="M48" s="13">
        <v>0</v>
      </c>
      <c r="N48" s="13">
        <f t="shared" si="3"/>
        <v>30000000</v>
      </c>
      <c r="P48" s="13" cm="1">
        <f t="array" ref="P48">INDEX($AE$31:$AE$38,$B48,1)</f>
        <v>0</v>
      </c>
      <c r="Q48" s="13" t="b">
        <f t="shared" si="4"/>
        <v>0</v>
      </c>
      <c r="R48" s="91">
        <f>IF(Q48,P48/N48,1)</f>
        <v>1</v>
      </c>
      <c r="S48" s="13">
        <f t="shared" si="5"/>
        <v>0</v>
      </c>
      <c r="U48" s="13" cm="1">
        <f t="array" ref="U48:X48">_xlfn.ANCHORARRAY(J48)*$R48</f>
        <v>14066179.477694092</v>
      </c>
      <c r="V48" s="13">
        <v>15933820.522305906</v>
      </c>
      <c r="W48" s="13">
        <v>0</v>
      </c>
      <c r="X48" s="13">
        <v>0</v>
      </c>
      <c r="Y48" s="13">
        <f>N48*$R48</f>
        <v>30000000</v>
      </c>
      <c r="AA48" s="13" t="str" cm="1">
        <f t="array" ref="AA48">INDEX(AB$31:AB$38,$B48,1)</f>
        <v>XOL</v>
      </c>
      <c r="AB48" s="13" cm="1">
        <f t="array" ref="AB48">INDEX(AC$31:AC$38,$B48,1)</f>
        <v>10000000</v>
      </c>
      <c r="AC48" s="13" cm="1">
        <f t="array" ref="AC48">INDEX(AD$31:AD$38,$B48,1)</f>
        <v>10000000</v>
      </c>
      <c r="AD48" s="13" cm="1">
        <f t="array" ref="AD48">IF(INDEX(AE$31:AE$38,$B48,1)=0,9.9E+300,INDEX(AE$31:AE$38,$B48,1))</f>
        <v>9.9000000000000002E+300</v>
      </c>
      <c r="AE48" s="91" cm="1">
        <f t="array" ref="AE48">INDEX(AF$31:AF$38,$B48,1)</f>
        <v>1</v>
      </c>
      <c r="AF48" s="91" cm="1">
        <f t="array" ref="AF48">INDEX(AH$31:AH$38,$B48,1)</f>
        <v>0.05</v>
      </c>
      <c r="AG48" s="91" cm="1">
        <f t="array" ref="AG48">INDEX(AK$31:AK$38,$B48,1)</f>
        <v>1</v>
      </c>
      <c r="AH48" s="13" cm="1">
        <f t="array" ref="AH48">INDEX(AL$31:AL$38,$B48,1)</f>
        <v>20000000</v>
      </c>
      <c r="AI48" s="13" cm="1">
        <f t="array" ref="AI48">INDEX(AM$31:AM$38,$B48,1)*AG48</f>
        <v>500000</v>
      </c>
      <c r="AK48" s="98"/>
      <c r="AL48" s="98"/>
      <c r="AM48" s="13">
        <f t="shared" si="6"/>
        <v>10000000</v>
      </c>
      <c r="AN48" s="13">
        <f>MAX(Y48-AM48,0)</f>
        <v>20000000</v>
      </c>
      <c r="AO48" s="13">
        <f t="shared" si="7"/>
        <v>10000000</v>
      </c>
      <c r="AP48" s="13">
        <f t="shared" si="8"/>
        <v>500000</v>
      </c>
      <c r="AQ48" s="13">
        <f t="shared" si="9"/>
        <v>9500000</v>
      </c>
      <c r="AR48" s="114"/>
      <c r="AS48" s="13" cm="1">
        <f t="array" ref="AS48:AV48">IF(_xlfn.ANCHORARRAY(U48)&gt;0,_xlfn.ANCHORARRAY(AS47)-_xlfn.ANCHORARRAY(U48)*$AM48/$Y48-(1-$R48)*_xlfn.ANCHORARRAY(J48),_xlfn.ANCHORARRAY(AS47))</f>
        <v>5157599.1418211674</v>
      </c>
      <c r="AT48" s="13">
        <v>-6974534.3918211684</v>
      </c>
      <c r="AU48" s="13">
        <v>0</v>
      </c>
      <c r="AV48" s="13">
        <v>0</v>
      </c>
      <c r="AW48" s="13">
        <f t="shared" si="10"/>
        <v>-1816935.25</v>
      </c>
      <c r="BG48"/>
      <c r="BH48"/>
      <c r="BI48"/>
      <c r="BJ48"/>
      <c r="BK48"/>
      <c r="BL48" s="10"/>
    </row>
    <row r="49" spans="2:64">
      <c r="B49" s="93">
        <v>6</v>
      </c>
      <c r="C49" s="96" t="str">
        <f t="shared" si="1"/>
        <v>xol_5</v>
      </c>
      <c r="D49" s="13" cm="1">
        <f t="array" ref="D49">_xlfn.IFS(E36=0,D48,AND(E36=E35,$Q48=FALSE),D48,AND(E36=E35,$Q48=TRUE),U48,E36&gt;MAX(E$31:E35),AS48)</f>
        <v>14066179.477694092</v>
      </c>
      <c r="E49" s="13" cm="1">
        <f t="array" ref="E49">_xlfn.IFS(F36=0,E48,AND(F36=F35,$Q48=FALSE),E48,AND(F36=F35,$Q48=TRUE),V48,F36&gt;MAX(F$31:F35),AT48)</f>
        <v>15933820.522305906</v>
      </c>
      <c r="F49" s="13" cm="1">
        <f t="array" ref="F49">_xlfn.IFS(G36=0,F48,AND(G36=G35,$Q48=FALSE),F48,AND(G36=G35,$Q48=TRUE),W48,G36&gt;MAX(G$31:G35),AU48)</f>
        <v>0</v>
      </c>
      <c r="G49" s="13" cm="1">
        <f t="array" ref="G49">_xlfn.IFS(H36=0,G48,AND(H36=H35,$Q48=FALSE),G48,AND(H36=H35,$Q48=TRUE),X48,H36&gt;MAX(H$31:H35),AV48)</f>
        <v>0</v>
      </c>
      <c r="H49" s="13">
        <f t="shared" si="2"/>
        <v>30000000</v>
      </c>
      <c r="J49" s="13" cm="1">
        <f t="array" ref="J49:M49">IF(INDEX($E$31:$H$38,$B49,0)&gt;0,$D49:$G49,0)</f>
        <v>14066179.477694092</v>
      </c>
      <c r="K49" s="13">
        <v>15933820.522305906</v>
      </c>
      <c r="L49" s="13">
        <v>0</v>
      </c>
      <c r="M49" s="13">
        <v>0</v>
      </c>
      <c r="N49" s="13">
        <f t="shared" si="3"/>
        <v>30000000</v>
      </c>
      <c r="P49" s="13" cm="1">
        <f t="array" ref="P49">INDEX($AE$31:$AE$38,$B49,1)</f>
        <v>0</v>
      </c>
      <c r="Q49" s="13" t="b">
        <f t="shared" si="4"/>
        <v>0</v>
      </c>
      <c r="R49" s="91">
        <f>IF(Q49,P49/N49,1)</f>
        <v>1</v>
      </c>
      <c r="S49" s="13">
        <f t="shared" si="5"/>
        <v>0</v>
      </c>
      <c r="U49" s="13" cm="1">
        <f t="array" ref="U49:X49">_xlfn.ANCHORARRAY(J49)*$R49</f>
        <v>14066179.477694092</v>
      </c>
      <c r="V49" s="13">
        <v>15933820.522305906</v>
      </c>
      <c r="W49" s="13">
        <v>0</v>
      </c>
      <c r="X49" s="13">
        <v>0</v>
      </c>
      <c r="Y49" s="13">
        <f>N49*$R49</f>
        <v>30000000</v>
      </c>
      <c r="AA49" s="13" t="str" cm="1">
        <f t="array" ref="AA49">INDEX(AB$31:AB$38,$B49,1)</f>
        <v>XOL</v>
      </c>
      <c r="AB49" s="13" cm="1">
        <f t="array" ref="AB49">INDEX(AC$31:AC$38,$B49,1)</f>
        <v>20000000</v>
      </c>
      <c r="AC49" s="13" cm="1">
        <f t="array" ref="AC49">INDEX(AD$31:AD$38,$B49,1)</f>
        <v>10000000</v>
      </c>
      <c r="AD49" s="13" cm="1">
        <f t="array" ref="AD49">IF(INDEX(AE$31:AE$38,$B49,1)=0,9.9E+300,INDEX(AE$31:AE$38,$B49,1))</f>
        <v>9.9000000000000002E+300</v>
      </c>
      <c r="AE49" s="91" cm="1">
        <f t="array" ref="AE49">INDEX(AF$31:AF$38,$B49,1)</f>
        <v>1</v>
      </c>
      <c r="AF49" s="91" cm="1">
        <f t="array" ref="AF49">INDEX(AH$31:AH$38,$B49,1)</f>
        <v>0.01</v>
      </c>
      <c r="AG49" s="91" cm="1">
        <f t="array" ref="AG49">INDEX(AK$31:AK$38,$B49,1)</f>
        <v>1</v>
      </c>
      <c r="AH49" s="13" cm="1">
        <f t="array" ref="AH49">INDEX(AL$31:AL$38,$B49,1)</f>
        <v>20000000</v>
      </c>
      <c r="AI49" s="13" cm="1">
        <f t="array" ref="AI49">INDEX(AM$31:AM$38,$B49,1)*AG49</f>
        <v>100000</v>
      </c>
      <c r="AK49" s="98"/>
      <c r="AL49" s="98"/>
      <c r="AM49" s="13">
        <f t="shared" si="6"/>
        <v>10000000</v>
      </c>
      <c r="AN49" s="13">
        <f>MAX(Y49-AM49,0)</f>
        <v>20000000</v>
      </c>
      <c r="AO49" s="13">
        <f t="shared" si="7"/>
        <v>10000000</v>
      </c>
      <c r="AP49" s="13">
        <f t="shared" si="8"/>
        <v>100000</v>
      </c>
      <c r="AQ49" s="13">
        <f t="shared" si="9"/>
        <v>9900000</v>
      </c>
      <c r="AR49" s="114"/>
      <c r="AS49" s="13" cm="1">
        <f t="array" ref="AS49:AV49">IF(_xlfn.ANCHORARRAY(U49)&gt;0,_xlfn.ANCHORARRAY(AS48)-_xlfn.ANCHORARRAY(U49)*$AM49/$Y49-(1-$R49)*_xlfn.ANCHORARRAY(J49),_xlfn.ANCHORARRAY(AS48))</f>
        <v>468872.64925646968</v>
      </c>
      <c r="AT49" s="13">
        <v>-12285807.899256472</v>
      </c>
      <c r="AU49" s="13">
        <v>0</v>
      </c>
      <c r="AV49" s="13">
        <v>0</v>
      </c>
      <c r="AW49" s="13">
        <f t="shared" si="10"/>
        <v>-11816935.25</v>
      </c>
      <c r="BG49"/>
      <c r="BH49"/>
      <c r="BI49"/>
      <c r="BJ49"/>
      <c r="BK49"/>
      <c r="BL49" s="10"/>
    </row>
    <row r="50" spans="2:64">
      <c r="B50" s="93">
        <v>7</v>
      </c>
      <c r="C50" s="96" t="str">
        <f t="shared" si="1"/>
        <v>later_prop</v>
      </c>
      <c r="D50" s="13" cm="1">
        <f t="array" ref="D50">_xlfn.IFS(E37=0,D49,AND(E37=E36,$Q49=FALSE),D49,AND(E37=E36,$Q49=TRUE),U49,E37&gt;MAX(E$31:E36),AS49)</f>
        <v>468872.64925646968</v>
      </c>
      <c r="E50" s="13" cm="1">
        <f t="array" ref="E50">_xlfn.IFS(F37=0,E49,AND(F37=F36,$Q49=FALSE),E49,AND(F37=F36,$Q49=TRUE),V49,F37&gt;MAX(F$31:F36),AT49)</f>
        <v>15933820.522305906</v>
      </c>
      <c r="F50" s="13" cm="1">
        <f t="array" ref="F50">_xlfn.IFS(G37=0,F49,AND(G37=G36,$Q49=FALSE),F49,AND(G37=G36,$Q49=TRUE),W49,G37&gt;MAX(G$31:G36),AU49)</f>
        <v>0</v>
      </c>
      <c r="G50" s="13" cm="1">
        <f t="array" ref="G50">_xlfn.IFS(H37=0,G49,AND(H37=H36,$Q49=FALSE),G49,AND(H37=H36,$Q49=TRUE),X49,H37&gt;MAX(H$31:H36),AV49)</f>
        <v>0</v>
      </c>
      <c r="H50" s="13">
        <f t="shared" si="2"/>
        <v>16402693.171562376</v>
      </c>
      <c r="J50" s="13" cm="1">
        <f t="array" ref="J50:M50">IF(INDEX($E$31:$H$38,$B50,0)&gt;0,$D50:$G50,0)</f>
        <v>468872.64925646968</v>
      </c>
      <c r="K50" s="13">
        <v>15933820.522305906</v>
      </c>
      <c r="L50" s="13">
        <v>0</v>
      </c>
      <c r="M50" s="13">
        <v>0</v>
      </c>
      <c r="N50" s="13">
        <f t="shared" si="3"/>
        <v>16402693.171562376</v>
      </c>
      <c r="P50" s="13" cm="1">
        <f t="array" ref="P50">INDEX($AE$31:$AE$38,$B50,1)</f>
        <v>5000000</v>
      </c>
      <c r="Q50" s="13" t="b">
        <f t="shared" si="4"/>
        <v>1</v>
      </c>
      <c r="R50" s="91">
        <f>IF(Q50,P50/N50,1)</f>
        <v>0.30482799060513938</v>
      </c>
      <c r="S50" s="13">
        <f t="shared" si="5"/>
        <v>11402693.171562376</v>
      </c>
      <c r="U50" s="13" cm="1">
        <f t="array" ref="U50:X50">_xlfn.ANCHORARRAY(J50)*$R50</f>
        <v>142925.50752255795</v>
      </c>
      <c r="V50" s="13">
        <v>4857074.4924774412</v>
      </c>
      <c r="W50" s="13">
        <v>0</v>
      </c>
      <c r="X50" s="13">
        <v>0</v>
      </c>
      <c r="Y50" s="13">
        <f>N50*$R50</f>
        <v>5000000</v>
      </c>
      <c r="AA50" s="13" t="str" cm="1">
        <f t="array" ref="AA50">INDEX(AB$31:AB$38,$B50,1)</f>
        <v>PROP</v>
      </c>
      <c r="AB50" s="13" cm="1">
        <f t="array" ref="AB50">INDEX(AC$31:AC$38,$B50,1)</f>
        <v>0</v>
      </c>
      <c r="AC50" s="13" cm="1">
        <f t="array" ref="AC50">INDEX(AD$31:AD$38,$B50,1)</f>
        <v>0</v>
      </c>
      <c r="AD50" s="13" cm="1">
        <f t="array" ref="AD50">IF(INDEX(AE$31:AE$38,$B50,1)=0,9.9E+300,INDEX(AE$31:AE$38,$B50,1))</f>
        <v>5000000</v>
      </c>
      <c r="AE50" s="91" cm="1">
        <f t="array" ref="AE50">INDEX(AF$31:AF$38,$B50,1)</f>
        <v>0.7</v>
      </c>
      <c r="AF50" s="91" cm="1">
        <f t="array" ref="AF50">INDEX(AH$31:AH$38,$B50,1)</f>
        <v>0</v>
      </c>
      <c r="AG50" s="91" cm="1">
        <f t="array" ref="AG50">INDEX(AK$31:AK$38,$B50,1)</f>
        <v>1</v>
      </c>
      <c r="AH50" s="13" cm="1">
        <f t="array" ref="AH50">INDEX(AL$31:AL$38,$B50,1)</f>
        <v>0</v>
      </c>
      <c r="AI50" s="13" cm="1">
        <f t="array" ref="AI50">INDEX(AM$31:AM$38,$B50,1)*AG50</f>
        <v>0</v>
      </c>
      <c r="AK50" s="98"/>
      <c r="AL50" s="98"/>
      <c r="AM50" s="13">
        <f t="shared" si="6"/>
        <v>3500000</v>
      </c>
      <c r="AN50" s="13">
        <f>MAX(Y50-AM50,0)</f>
        <v>1500000</v>
      </c>
      <c r="AO50" s="13">
        <f t="shared" si="7"/>
        <v>3500000</v>
      </c>
      <c r="AP50" s="13">
        <f t="shared" si="8"/>
        <v>0</v>
      </c>
      <c r="AQ50" s="13">
        <f t="shared" si="9"/>
        <v>3500000</v>
      </c>
      <c r="AR50" s="114"/>
      <c r="AS50" s="13" cm="1">
        <f t="array" ref="AS50:AV50">IF(_xlfn.ANCHORARRAY(U50)&gt;0,_xlfn.ANCHORARRAY(AS49)-_xlfn.ANCHORARRAY(U50)*$AM50/$Y50-(1-$R50)*_xlfn.ANCHORARRAY(J50),_xlfn.ANCHORARRAY(AS49))</f>
        <v>42877.652256767382</v>
      </c>
      <c r="AT50" s="13">
        <v>-26762506.073819146</v>
      </c>
      <c r="AU50" s="13">
        <v>0</v>
      </c>
      <c r="AV50" s="13">
        <v>0</v>
      </c>
      <c r="AW50" s="13">
        <f t="shared" si="10"/>
        <v>-26719628.421562374</v>
      </c>
      <c r="BG50"/>
      <c r="BL50" s="10"/>
    </row>
    <row r="51" spans="2:64">
      <c r="B51" s="93">
        <v>8</v>
      </c>
      <c r="C51" s="96" t="str">
        <f t="shared" si="1"/>
        <v>xol_6</v>
      </c>
      <c r="D51" s="62" cm="1">
        <f t="array" ref="D51">_xlfn.IFS(E38=0,D50,AND(E38=E37,$Q50=FALSE),D50,AND(E38=E37,$Q50=TRUE),U50,E38&gt;MAX(E$31:E37),AS50)</f>
        <v>468872.64925646968</v>
      </c>
      <c r="E51" s="62" cm="1">
        <f t="array" ref="E51">_xlfn.IFS(F38=0,E50,AND(F38=F37,$Q50=FALSE),E50,AND(F38=F37,$Q50=TRUE),V50,F38&gt;MAX(F$31:F37),AT50)</f>
        <v>4857074.4924774412</v>
      </c>
      <c r="F51" s="62" cm="1">
        <f t="array" ref="F51">_xlfn.IFS(G38=0,F50,AND(G38=G37,$Q50=FALSE),F50,AND(G38=G37,$Q50=TRUE),W50,G38&gt;MAX(G$31:G37),AU50)</f>
        <v>0</v>
      </c>
      <c r="G51" s="62" cm="1">
        <f t="array" ref="G51">_xlfn.IFS(H38=0,G50,AND(H38=H37,$Q50=FALSE),G50,AND(H38=H37,$Q50=TRUE),X50,H38&gt;MAX(H$31:H37),AV50)</f>
        <v>0</v>
      </c>
      <c r="H51" s="62">
        <f t="shared" si="2"/>
        <v>5325947.1417339109</v>
      </c>
      <c r="J51" s="62" cm="1">
        <f t="array" ref="J51:M51">IF(INDEX($E$31:$H$38,$B51,0)&gt;0,$D51:$G51,0)</f>
        <v>0</v>
      </c>
      <c r="K51" s="62">
        <v>4857074.4924774412</v>
      </c>
      <c r="L51" s="62">
        <v>0</v>
      </c>
      <c r="M51" s="62">
        <v>0</v>
      </c>
      <c r="N51" s="62">
        <f t="shared" si="3"/>
        <v>4857074.4924774412</v>
      </c>
      <c r="P51" s="62" cm="1">
        <f t="array" ref="P51">INDEX($AE$31:$AE$38,$B51,1)</f>
        <v>0</v>
      </c>
      <c r="Q51" s="62" t="b">
        <f t="shared" si="4"/>
        <v>0</v>
      </c>
      <c r="R51" s="92">
        <f>IF(Q51,P51/N51,1)</f>
        <v>1</v>
      </c>
      <c r="S51" s="62">
        <f t="shared" si="5"/>
        <v>0</v>
      </c>
      <c r="U51" s="62" cm="1">
        <f t="array" ref="U51:X51">_xlfn.ANCHORARRAY(J51)*$R51</f>
        <v>0</v>
      </c>
      <c r="V51" s="62">
        <v>4857074.4924774412</v>
      </c>
      <c r="W51" s="62">
        <v>0</v>
      </c>
      <c r="X51" s="62">
        <v>0</v>
      </c>
      <c r="Y51" s="62">
        <f>N51*$R51</f>
        <v>4857074.4924774412</v>
      </c>
      <c r="AA51" s="62" t="str" cm="1">
        <f t="array" ref="AA51">INDEX(AB$31:AB$38,$B51,1)</f>
        <v>XOL</v>
      </c>
      <c r="AB51" s="62" cm="1">
        <f t="array" ref="AB51">INDEX(AC$31:AC$38,$B51,1)</f>
        <v>99000</v>
      </c>
      <c r="AC51" s="62" cm="1">
        <f t="array" ref="AC51">INDEX(AD$31:AD$38,$B51,1)</f>
        <v>1000</v>
      </c>
      <c r="AD51" s="62" cm="1">
        <f t="array" ref="AD51">IF(INDEX(AE$31:AE$38,$B51,1)=0,9.9E+300,INDEX(AE$31:AE$38,$B51,1))</f>
        <v>9.9000000000000002E+300</v>
      </c>
      <c r="AE51" s="92" cm="1">
        <f t="array" ref="AE51">INDEX(AF$31:AF$38,$B51,1)</f>
        <v>1</v>
      </c>
      <c r="AF51" s="92" cm="1">
        <f t="array" ref="AF51">INDEX(AH$31:AH$38,$B51,1)</f>
        <v>0</v>
      </c>
      <c r="AG51" s="92" cm="1">
        <f t="array" ref="AG51">INDEX(AK$31:AK$38,$B51,1)</f>
        <v>1</v>
      </c>
      <c r="AH51" s="62" cm="1">
        <f t="array" ref="AH51">INDEX(AL$31:AL$38,$B51,1)</f>
        <v>1000</v>
      </c>
      <c r="AI51" s="62" cm="1">
        <f t="array" ref="AI51">INDEX(AM$31:AM$38,$B51,1)*AG51</f>
        <v>0</v>
      </c>
      <c r="AK51" s="99"/>
      <c r="AL51" s="99"/>
      <c r="AM51" s="62">
        <f t="shared" si="6"/>
        <v>1000</v>
      </c>
      <c r="AN51" s="62">
        <f>MAX(Y51-AM51,0)</f>
        <v>4856074.4924774412</v>
      </c>
      <c r="AO51" s="62">
        <f t="shared" si="7"/>
        <v>1000</v>
      </c>
      <c r="AP51" s="62">
        <f t="shared" si="8"/>
        <v>0</v>
      </c>
      <c r="AQ51" s="62">
        <f t="shared" si="9"/>
        <v>1000</v>
      </c>
      <c r="AR51" s="114"/>
      <c r="AS51" s="62" cm="1">
        <f t="array" ref="AS51:AV51">IF(_xlfn.ANCHORARRAY(U51)&gt;0,_xlfn.ANCHORARRAY(AS50)-_xlfn.ANCHORARRAY(U51)*$AM51/$Y51-(1-$R51)*_xlfn.ANCHORARRAY(J51),_xlfn.ANCHORARRAY(AS50))</f>
        <v>42877.652256767382</v>
      </c>
      <c r="AT51" s="62">
        <v>-26763506.073819146</v>
      </c>
      <c r="AU51" s="62">
        <v>0</v>
      </c>
      <c r="AV51" s="62">
        <v>0</v>
      </c>
      <c r="AW51" s="62">
        <f t="shared" si="10"/>
        <v>-26720628.421562374</v>
      </c>
      <c r="BG51"/>
      <c r="BL51" s="10"/>
    </row>
    <row r="52" spans="2:64">
      <c r="AM52" s="22"/>
      <c r="AS52" s="11"/>
      <c r="BG52"/>
      <c r="BL52" s="10"/>
    </row>
    <row r="53" spans="2:64">
      <c r="AS53" s="10"/>
      <c r="AT53" s="10"/>
      <c r="BG53"/>
      <c r="BL53" s="10"/>
    </row>
    <row r="54" spans="2:64">
      <c r="C54" s="14" t="s">
        <v>447</v>
      </c>
      <c r="U54" s="22"/>
      <c r="V54" s="22"/>
      <c r="AS54" s="22"/>
      <c r="AT54" s="22"/>
      <c r="BG54"/>
      <c r="BL54" s="10"/>
    </row>
    <row r="55" spans="2:64">
      <c r="U55" s="22"/>
      <c r="V55" s="22"/>
      <c r="BG55"/>
      <c r="BL55" s="10"/>
    </row>
    <row r="56" spans="2:64">
      <c r="D56" s="109" t="s">
        <v>454</v>
      </c>
      <c r="E56" s="109"/>
      <c r="F56" s="109"/>
      <c r="G56" s="109"/>
      <c r="H56" s="109"/>
      <c r="J56" s="109" t="s">
        <v>482</v>
      </c>
      <c r="K56" s="109"/>
      <c r="L56" s="109"/>
      <c r="M56" s="109"/>
      <c r="N56" s="109"/>
      <c r="U56" s="109" t="s">
        <v>468</v>
      </c>
      <c r="V56" s="109"/>
      <c r="W56" s="109"/>
      <c r="X56" s="109"/>
      <c r="Y56" s="109"/>
      <c r="AA56" s="109" t="s">
        <v>492</v>
      </c>
      <c r="AB56" s="109"/>
      <c r="AC56" s="109"/>
      <c r="AD56" s="109"/>
      <c r="AE56" s="109"/>
      <c r="AF56" s="109"/>
      <c r="AG56" s="109"/>
      <c r="AH56" s="109"/>
      <c r="AI56" s="109"/>
      <c r="AS56" s="110" t="s">
        <v>455</v>
      </c>
      <c r="AT56" s="110"/>
      <c r="AU56" s="110"/>
      <c r="AV56" s="110"/>
      <c r="AW56" s="110"/>
      <c r="BG56"/>
      <c r="BL56" s="10"/>
    </row>
    <row r="57" spans="2:64">
      <c r="C57" s="95" t="s">
        <v>407</v>
      </c>
      <c r="D57" s="95" t="str">
        <f>$E$10</f>
        <v>motor</v>
      </c>
      <c r="E57" s="95" t="str">
        <f>$F$10</f>
        <v>prop</v>
      </c>
      <c r="F57" s="85"/>
      <c r="G57" s="85"/>
      <c r="H57" s="85" t="s">
        <v>436</v>
      </c>
      <c r="J57" s="95" t="str">
        <f>$E$10</f>
        <v>motor</v>
      </c>
      <c r="K57" s="95" t="str">
        <f>$F$10</f>
        <v>prop</v>
      </c>
      <c r="L57" s="85"/>
      <c r="M57" s="85"/>
      <c r="N57" s="85" t="s">
        <v>436</v>
      </c>
      <c r="P57" s="95" t="s">
        <v>482</v>
      </c>
      <c r="Q57" s="95" t="s">
        <v>483</v>
      </c>
      <c r="R57" s="95" t="s">
        <v>484</v>
      </c>
      <c r="S57" s="95" t="s">
        <v>485</v>
      </c>
      <c r="U57" s="95" t="str">
        <f>$E$10</f>
        <v>motor</v>
      </c>
      <c r="V57" s="95" t="str">
        <f>$F$10</f>
        <v>prop</v>
      </c>
      <c r="W57" s="85"/>
      <c r="X57" s="85"/>
      <c r="Y57" s="85" t="s">
        <v>436</v>
      </c>
      <c r="AA57" s="85" t="s">
        <v>408</v>
      </c>
      <c r="AB57" s="85" t="s">
        <v>409</v>
      </c>
      <c r="AC57" s="85" t="s">
        <v>410</v>
      </c>
      <c r="AD57" s="85" t="s">
        <v>411</v>
      </c>
      <c r="AE57" s="85" t="s">
        <v>26</v>
      </c>
      <c r="AF57" s="85" t="s">
        <v>413</v>
      </c>
      <c r="AG57" s="85" t="s">
        <v>457</v>
      </c>
      <c r="AH57" s="85" t="s">
        <v>463</v>
      </c>
      <c r="AI57" s="85" t="s">
        <v>491</v>
      </c>
      <c r="AK57" s="85" t="s">
        <v>461</v>
      </c>
      <c r="AL57" s="85" t="s">
        <v>471</v>
      </c>
      <c r="AM57" s="85" t="s">
        <v>459</v>
      </c>
      <c r="AN57" s="85" t="s">
        <v>455</v>
      </c>
      <c r="AO57" s="85" t="s">
        <v>456</v>
      </c>
      <c r="AP57" s="85" t="s">
        <v>460</v>
      </c>
      <c r="AQ57" s="85" t="s">
        <v>458</v>
      </c>
      <c r="AS57" s="77" t="str">
        <f>$E$10</f>
        <v>motor</v>
      </c>
      <c r="AT57" s="77" t="str">
        <f>$F$10</f>
        <v>prop</v>
      </c>
      <c r="AU57" s="77"/>
      <c r="AV57" s="77"/>
      <c r="AW57" s="77" t="s">
        <v>436</v>
      </c>
      <c r="BG57"/>
      <c r="BL57" s="10"/>
    </row>
    <row r="58" spans="2:64">
      <c r="B58" s="93">
        <v>1</v>
      </c>
      <c r="C58" s="96" t="str">
        <f>C44</f>
        <v>prop</v>
      </c>
      <c r="D58" s="100">
        <f>E21</f>
        <v>1629117.3236301369</v>
      </c>
      <c r="E58" s="100">
        <f>F21</f>
        <v>3306652.2448630133</v>
      </c>
      <c r="F58" s="100">
        <f>G21</f>
        <v>0</v>
      </c>
      <c r="G58" s="100">
        <f>H21</f>
        <v>0</v>
      </c>
      <c r="H58" s="100">
        <f>SUM(D58:G58)</f>
        <v>4935769.5684931502</v>
      </c>
      <c r="J58" s="12" cm="1">
        <f t="array" ref="J58:M58">IF(INDEX($E$31:$H$38,$B58,0)&gt;0,$D58:$G58,0)</f>
        <v>0</v>
      </c>
      <c r="K58" s="12">
        <v>3306652.2448630133</v>
      </c>
      <c r="L58" s="12">
        <v>0</v>
      </c>
      <c r="M58" s="12">
        <v>0</v>
      </c>
      <c r="N58" s="12">
        <f>SUM(_xlfn.ANCHORARRAY(J58))</f>
        <v>3306652.2448630133</v>
      </c>
      <c r="P58" s="12" cm="1">
        <f t="array" ref="P58">INDEX($AE$31:$AE$38,$B58,1)</f>
        <v>500000000</v>
      </c>
      <c r="Q58" s="12" t="b">
        <f>AND(N58&gt;P58,P58&gt;0)</f>
        <v>0</v>
      </c>
      <c r="R58" s="90">
        <f>IF(Q58,P58/N58,1)</f>
        <v>1</v>
      </c>
      <c r="S58" s="12">
        <f>IF(P58&gt;0,MAX(N58-P58,0),0)</f>
        <v>0</v>
      </c>
      <c r="U58" s="12" cm="1">
        <f t="array" ref="U58:X58">IF($Q58,$P58/$N58*_xlfn.ANCHORARRAY(J58),_xlfn.ANCHORARRAY(J58))</f>
        <v>0</v>
      </c>
      <c r="V58" s="12">
        <v>3306652.2448630133</v>
      </c>
      <c r="W58" s="12">
        <v>0</v>
      </c>
      <c r="X58" s="12">
        <v>0</v>
      </c>
      <c r="Y58" s="12">
        <f>IF($Q58,$P58/$N58*N58,N58)</f>
        <v>3306652.2448630133</v>
      </c>
      <c r="AA58" s="12" t="str" cm="1">
        <f t="array" ref="AA58">INDEX(AB$31:AB$38,$B58,1)</f>
        <v>PROP</v>
      </c>
      <c r="AB58" s="12" cm="1">
        <f t="array" ref="AB58">INDEX(AC$31:AC$38,$B58,1)</f>
        <v>0</v>
      </c>
      <c r="AC58" s="12" cm="1">
        <f t="array" ref="AC58">INDEX(AD$31:AD$38,$B58,1)</f>
        <v>0</v>
      </c>
      <c r="AD58" s="12" cm="1">
        <f t="array" ref="AD58">IF(INDEX(AE$31:AE$38,$B58,1)=0,9.9E+300,INDEX(AE$31:AE$38,$B58,1))</f>
        <v>500000000</v>
      </c>
      <c r="AE58" s="90" cm="1">
        <f t="array" ref="AE58">INDEX(AF$31:AF$38,$B58,1)</f>
        <v>0.5</v>
      </c>
      <c r="AF58" s="90" cm="1">
        <f t="array" ref="AF58">INDEX(AH$31:AH$38,$B58,1)</f>
        <v>0</v>
      </c>
      <c r="AG58" s="90" cm="1">
        <f t="array" ref="AG58">INDEX(AK$31:AK$38,$B58,1)</f>
        <v>0.95</v>
      </c>
      <c r="AH58" s="12" cm="1">
        <f t="array" ref="AH58">INDEX(AL$31:AL$38,$B58,1)</f>
        <v>0</v>
      </c>
      <c r="AI58" s="12" cm="1">
        <f t="array" ref="AI58">INDEX(AM$31:AM$38,$B58,1)</f>
        <v>0</v>
      </c>
      <c r="AK58" s="97">
        <f>AK44+AM44</f>
        <v>12816935.25</v>
      </c>
      <c r="AL58" s="97">
        <f>AL44+AP44</f>
        <v>0</v>
      </c>
      <c r="AM58" s="12">
        <f>IF(AA58="PROP",Y58*AE58,MIN(MAX(Y58-AB58,0),AC58)*AE58)</f>
        <v>1653326.1224315066</v>
      </c>
      <c r="AN58" s="12">
        <f>MAX(Y58-AM58,0)</f>
        <v>1653326.1224315066</v>
      </c>
      <c r="AO58" s="12">
        <f>_xlfn.LET(_xlpm.base,MIN(AM58,AD58),
_xlpm.remain,MAX(AH58-AK58,0),
IF(AA58="PROP", _xlpm.base*AG58,MIN(_xlpm.base,_xlpm.remain)*AG58))</f>
        <v>1570659.8163099312</v>
      </c>
      <c r="AP58" s="12">
        <f>_xlfn.LET(_xlpm.base,AO58*AF58,
_xlpm.remain,MAX(AI58-AL58,0),
IF(AB58="PROP", 0,MIN(_xlpm.base,_xlpm.remain)))</f>
        <v>0</v>
      </c>
      <c r="AQ58" s="12">
        <f>AO58-AP58</f>
        <v>1570659.8163099312</v>
      </c>
      <c r="AR58" s="114"/>
      <c r="AS58" s="12" cm="1">
        <f t="array" ref="AS58:AV58">IF(_xlfn.ANCHORARRAY(U58)&gt;0,$D58:$G58*$R58-_xlfn.ANCHORARRAY(U58)*$AM58/$Y58,$D58:$G58)</f>
        <v>1629117.3236301369</v>
      </c>
      <c r="AT58" s="12">
        <v>1653326.1224315066</v>
      </c>
      <c r="AU58" s="12">
        <v>0</v>
      </c>
      <c r="AV58" s="12">
        <v>0</v>
      </c>
      <c r="AW58" s="100">
        <f>H58-S58-AM58</f>
        <v>3282443.4460616438</v>
      </c>
      <c r="BG58"/>
      <c r="BL58" s="10"/>
    </row>
    <row r="59" spans="2:64">
      <c r="B59" s="93">
        <v>2</v>
      </c>
      <c r="C59" s="96" t="str">
        <f t="shared" ref="C59:C65" si="11">C45</f>
        <v>xol_1</v>
      </c>
      <c r="D59" s="13" cm="1">
        <f t="array" ref="D59">_xlfn.IFS(E32=0,D58,E32=E31,D58,E32&gt;MAX(E$31:E31),AS58)</f>
        <v>1629117.3236301369</v>
      </c>
      <c r="E59" s="13" cm="1">
        <f t="array" ref="E59">_xlfn.IFS(F32=0,E58,F32=F31,E58,F32&gt;MAX(F$31:F31),AT58)</f>
        <v>3306652.2448630133</v>
      </c>
      <c r="F59" s="13" cm="1">
        <f t="array" ref="F59">_xlfn.IFS(G32=0,F58,G32=G31,F58,G32&gt;MAX(G$31:G31),AU58)</f>
        <v>0</v>
      </c>
      <c r="G59" s="13" cm="1">
        <f t="array" ref="G59">_xlfn.IFS(H32=0,G58,H32=H31,G58,H32&gt;MAX(H$31:H31),AV58)</f>
        <v>0</v>
      </c>
      <c r="H59" s="13">
        <f t="shared" ref="H59:H65" si="12">SUM(D59:G59)</f>
        <v>4935769.5684931502</v>
      </c>
      <c r="J59" s="13" cm="1">
        <f t="array" ref="J59:M59">IF(INDEX($E$31:$H$38,$B59,0)&gt;0,$D59:$G59,0)</f>
        <v>1629117.3236301369</v>
      </c>
      <c r="K59" s="13">
        <v>3306652.2448630133</v>
      </c>
      <c r="L59" s="13">
        <v>0</v>
      </c>
      <c r="M59" s="13">
        <v>0</v>
      </c>
      <c r="N59" s="13">
        <f t="shared" ref="N59:N65" si="13">SUM(_xlfn.ANCHORARRAY(J59))</f>
        <v>4935769.5684931502</v>
      </c>
      <c r="P59" s="13" cm="1">
        <f t="array" ref="P59">INDEX($AE$31:$AE$38,$B59,1)</f>
        <v>30000000</v>
      </c>
      <c r="Q59" s="13" t="b">
        <f t="shared" ref="Q59:Q65" si="14">AND(N59&gt;P59,P59&gt;0)</f>
        <v>0</v>
      </c>
      <c r="R59" s="91">
        <f>IF(Q59,P59/N59,1)</f>
        <v>1</v>
      </c>
      <c r="S59" s="13">
        <f t="shared" ref="S59:S65" si="15">IF(P59&gt;0,MAX(N59-P59,0),0)</f>
        <v>0</v>
      </c>
      <c r="U59" s="13" cm="1">
        <f t="array" ref="U59:X59">IF($Q59,$P59/$N59*_xlfn.ANCHORARRAY(J59),_xlfn.ANCHORARRAY(J59))</f>
        <v>1629117.3236301369</v>
      </c>
      <c r="V59" s="13">
        <v>3306652.2448630133</v>
      </c>
      <c r="W59" s="13">
        <v>0</v>
      </c>
      <c r="X59" s="13">
        <v>0</v>
      </c>
      <c r="Y59" s="13">
        <f>IF($Q59,$P59/$N59*N59,N59)</f>
        <v>4935769.5684931502</v>
      </c>
      <c r="AA59" s="13" t="str" cm="1">
        <f t="array" ref="AA59">INDEX(AB$31:AB$38,$B59,1)</f>
        <v>XOL</v>
      </c>
      <c r="AB59" s="13" cm="1">
        <f t="array" ref="AB59">INDEX(AC$31:AC$38,$B59,1)</f>
        <v>1000000</v>
      </c>
      <c r="AC59" s="13" cm="1">
        <f t="array" ref="AC59">INDEX(AD$31:AD$38,$B59,1)</f>
        <v>2000000</v>
      </c>
      <c r="AD59" s="13" cm="1">
        <f t="array" ref="AD59">IF(INDEX(AE$31:AE$38,$B59,1)=0,9.9E+300,INDEX(AE$31:AE$38,$B59,1))</f>
        <v>30000000</v>
      </c>
      <c r="AE59" s="91" cm="1">
        <f t="array" ref="AE59">INDEX(AF$31:AF$38,$B59,1)</f>
        <v>1</v>
      </c>
      <c r="AF59" s="91" cm="1">
        <f t="array" ref="AF59">INDEX(AH$31:AH$38,$B59,1)</f>
        <v>0.3</v>
      </c>
      <c r="AG59" s="91" cm="1">
        <f t="array" ref="AG59">INDEX(AK$31:AK$38,$B59,1)</f>
        <v>0.8</v>
      </c>
      <c r="AH59" s="13" cm="1">
        <f t="array" ref="AH59">INDEX(AL$31:AL$38,$B59,1)</f>
        <v>12000000</v>
      </c>
      <c r="AI59" s="13" cm="1">
        <f t="array" ref="AI59">INDEX(AM$31:AM$38,$B59,1)</f>
        <v>3000000</v>
      </c>
      <c r="AK59" s="98">
        <f t="shared" ref="AK59:AK65" si="16">AK45+AM45</f>
        <v>2000000</v>
      </c>
      <c r="AL59" s="98">
        <f t="shared" ref="AL59:AL65" si="17">AL45+AP45</f>
        <v>480000</v>
      </c>
      <c r="AM59" s="13">
        <f t="shared" ref="AM59:AM65" si="18">IF(AA59="PROP",Y59*AE59,MIN(MAX(Y59-AB59,0),AC59)*AE59)</f>
        <v>2000000</v>
      </c>
      <c r="AN59" s="13">
        <f>MAX(Y59-AM59,0)</f>
        <v>2935769.5684931502</v>
      </c>
      <c r="AO59" s="13">
        <f t="shared" ref="AO59:AO65" si="19">_xlfn.LET(_xlpm.base,MIN(AM59,AD59),
_xlpm.remain,MAX(AH59-AK59,0),
IF(AA59="PROP", _xlpm.base*AG59,MIN(_xlpm.base,_xlpm.remain)*AG59))</f>
        <v>1600000</v>
      </c>
      <c r="AP59" s="13">
        <f t="shared" ref="AP59:AP65" si="20">_xlfn.LET(_xlpm.base,AO59*AF59,
_xlpm.remain,MAX(AI59-AL59,0),
IF(AB59="PROP", 0,MIN(_xlpm.base,_xlpm.remain)))</f>
        <v>480000</v>
      </c>
      <c r="AQ59" s="13">
        <f t="shared" ref="AQ59:AQ65" si="21">AO59-AP59</f>
        <v>1120000</v>
      </c>
      <c r="AR59" s="114"/>
      <c r="AS59" s="13" cm="1">
        <f t="array" ref="AS59:AV59">IF(_xlfn.ANCHORARRAY(U59)&gt;0,_xlfn.ANCHORARRAY(AS58)-_xlfn.ANCHORARRAY(U59)/$Y59*$AM59-(1-$R59)*_xlfn.ANCHORARRAY(J59),_xlfn.ANCHORARRAY(AS58))</f>
        <v>968990.34605428018</v>
      </c>
      <c r="AT59" s="13">
        <v>313453.10000736336</v>
      </c>
      <c r="AU59" s="13">
        <v>0</v>
      </c>
      <c r="AV59" s="13">
        <v>0</v>
      </c>
      <c r="AW59" s="13">
        <f>AW58-S59-AM59</f>
        <v>1282443.4460616438</v>
      </c>
      <c r="BG59"/>
      <c r="BL59" s="10"/>
    </row>
    <row r="60" spans="2:64">
      <c r="B60" s="93">
        <v>3</v>
      </c>
      <c r="C60" s="96" t="str">
        <f t="shared" si="11"/>
        <v>xol_2</v>
      </c>
      <c r="D60" s="13" cm="1">
        <f t="array" ref="D60">_xlfn.IFS(E33=0,D59,E33=E32,D59,E33&gt;MAX(E$31:E32),AS59)</f>
        <v>1629117.3236301369</v>
      </c>
      <c r="E60" s="13" cm="1">
        <f t="array" ref="E60">_xlfn.IFS(F33=0,E59,F33=F32,E59,F33&gt;MAX(F$31:F32),AT59)</f>
        <v>3306652.2448630133</v>
      </c>
      <c r="F60" s="13" cm="1">
        <f t="array" ref="F60">_xlfn.IFS(G33=0,F59,G33=G32,F59,G33&gt;MAX(G$31:G32),AU59)</f>
        <v>0</v>
      </c>
      <c r="G60" s="13" cm="1">
        <f t="array" ref="G60">_xlfn.IFS(H33=0,G59,H33=H32,G59,H33&gt;MAX(H$31:H32),AV59)</f>
        <v>0</v>
      </c>
      <c r="H60" s="13">
        <f t="shared" si="12"/>
        <v>4935769.5684931502</v>
      </c>
      <c r="J60" s="13" cm="1">
        <f t="array" ref="J60:M60">IF(INDEX($E$31:$H$38,$B60,0)&gt;0,$D60:$G60,0)</f>
        <v>1629117.3236301369</v>
      </c>
      <c r="K60" s="13">
        <v>3306652.2448630133</v>
      </c>
      <c r="L60" s="13">
        <v>0</v>
      </c>
      <c r="M60" s="13">
        <v>0</v>
      </c>
      <c r="N60" s="13">
        <f t="shared" si="13"/>
        <v>4935769.5684931502</v>
      </c>
      <c r="P60" s="13" cm="1">
        <f t="array" ref="P60">INDEX($AE$31:$AE$38,$B60,1)</f>
        <v>0</v>
      </c>
      <c r="Q60" s="13" t="b">
        <f t="shared" si="14"/>
        <v>0</v>
      </c>
      <c r="R60" s="91">
        <f>IF(Q60,P60/N60,1)</f>
        <v>1</v>
      </c>
      <c r="S60" s="13">
        <f t="shared" si="15"/>
        <v>0</v>
      </c>
      <c r="U60" s="13" cm="1">
        <f t="array" ref="U60:X60">IF($Q60,$P60/$N60*_xlfn.ANCHORARRAY(J60),_xlfn.ANCHORARRAY(J60))</f>
        <v>1629117.3236301369</v>
      </c>
      <c r="V60" s="13">
        <v>3306652.2448630133</v>
      </c>
      <c r="W60" s="13">
        <v>0</v>
      </c>
      <c r="X60" s="13">
        <v>0</v>
      </c>
      <c r="Y60" s="13">
        <f>IF($Q60,$P60/$N60*N60,N60)</f>
        <v>4935769.5684931502</v>
      </c>
      <c r="AA60" s="13" t="str" cm="1">
        <f t="array" ref="AA60">INDEX(AB$31:AB$38,$B60,1)</f>
        <v>XOL</v>
      </c>
      <c r="AB60" s="13" cm="1">
        <f t="array" ref="AB60">INDEX(AC$31:AC$38,$B60,1)</f>
        <v>3000000</v>
      </c>
      <c r="AC60" s="13" cm="1">
        <f t="array" ref="AC60">INDEX(AD$31:AD$38,$B60,1)</f>
        <v>2000000</v>
      </c>
      <c r="AD60" s="13" cm="1">
        <f t="array" ref="AD60">IF(INDEX(AE$31:AE$38,$B60,1)=0,9.9E+300,INDEX(AE$31:AE$38,$B60,1))</f>
        <v>9.9000000000000002E+300</v>
      </c>
      <c r="AE60" s="91" cm="1">
        <f t="array" ref="AE60">INDEX(AF$31:AF$38,$B60,1)</f>
        <v>1</v>
      </c>
      <c r="AF60" s="91" cm="1">
        <f t="array" ref="AF60">INDEX(AH$31:AH$38,$B60,1)</f>
        <v>0.2</v>
      </c>
      <c r="AG60" s="91" cm="1">
        <f t="array" ref="AG60">INDEX(AK$31:AK$38,$B60,1)</f>
        <v>1</v>
      </c>
      <c r="AH60" s="13" cm="1">
        <f t="array" ref="AH60">INDEX(AL$31:AL$38,$B60,1)</f>
        <v>8000000</v>
      </c>
      <c r="AI60" s="13" cm="1">
        <f t="array" ref="AI60">INDEX(AM$31:AM$38,$B60,1)</f>
        <v>1200000</v>
      </c>
      <c r="AK60" s="98">
        <f t="shared" si="16"/>
        <v>2000000</v>
      </c>
      <c r="AL60" s="98">
        <f t="shared" si="17"/>
        <v>400000</v>
      </c>
      <c r="AM60" s="13">
        <f t="shared" si="18"/>
        <v>1935769.5684931502</v>
      </c>
      <c r="AN60" s="13">
        <f>MAX(Y60-AM60,0)</f>
        <v>3000000</v>
      </c>
      <c r="AO60" s="13">
        <f t="shared" si="19"/>
        <v>1935769.5684931502</v>
      </c>
      <c r="AP60" s="13">
        <f t="shared" si="20"/>
        <v>387153.91369863006</v>
      </c>
      <c r="AQ60" s="13">
        <f t="shared" si="21"/>
        <v>1548615.6547945202</v>
      </c>
      <c r="AR60" s="114"/>
      <c r="AS60" s="13" cm="1">
        <f t="array" ref="AS60:AV60">IF(_xlfn.ANCHORARRAY(U60)&gt;0,_xlfn.ANCHORARRAY(AS59)-_xlfn.ANCHORARRAY(U60)/$Y60*$AM60-(1-$R60)*_xlfn.ANCHORARRAY(J60),_xlfn.ANCHORARRAY(AS59))</f>
        <v>330063.48878792836</v>
      </c>
      <c r="AT60" s="13">
        <v>-983389.611219435</v>
      </c>
      <c r="AU60" s="13">
        <v>0</v>
      </c>
      <c r="AV60" s="13">
        <v>0</v>
      </c>
      <c r="AW60" s="13">
        <f t="shared" ref="AW60:AW65" si="22">AW59-S60-AM60</f>
        <v>-653326.1224315064</v>
      </c>
      <c r="BG60"/>
      <c r="BL60" s="10"/>
    </row>
    <row r="61" spans="2:64">
      <c r="B61" s="93">
        <v>4</v>
      </c>
      <c r="C61" s="96" t="str">
        <f t="shared" si="11"/>
        <v>xol_3</v>
      </c>
      <c r="D61" s="13" cm="1">
        <f t="array" ref="D61">_xlfn.IFS(E34=0,D60,E34=E33,D60,E34&gt;MAX(E$31:E33),AS60)</f>
        <v>1629117.3236301369</v>
      </c>
      <c r="E61" s="13" cm="1">
        <f t="array" ref="E61">_xlfn.IFS(F34=0,E60,F34=F33,E60,F34&gt;MAX(F$31:F33),AT60)</f>
        <v>3306652.2448630133</v>
      </c>
      <c r="F61" s="13" cm="1">
        <f t="array" ref="F61">_xlfn.IFS(G34=0,F60,G34=G33,F60,G34&gt;MAX(G$31:G33),AU60)</f>
        <v>0</v>
      </c>
      <c r="G61" s="13" cm="1">
        <f t="array" ref="G61">_xlfn.IFS(H34=0,G60,H34=H33,G60,H34&gt;MAX(H$31:H33),AV60)</f>
        <v>0</v>
      </c>
      <c r="H61" s="13">
        <f t="shared" si="12"/>
        <v>4935769.5684931502</v>
      </c>
      <c r="J61" s="13" cm="1">
        <f t="array" ref="J61:M61">IF(INDEX($E$31:$H$38,$B61,0)&gt;0,$D61:$G61,0)</f>
        <v>1629117.3236301369</v>
      </c>
      <c r="K61" s="13">
        <v>3306652.2448630133</v>
      </c>
      <c r="L61" s="13">
        <v>0</v>
      </c>
      <c r="M61" s="13">
        <v>0</v>
      </c>
      <c r="N61" s="13">
        <f t="shared" si="13"/>
        <v>4935769.5684931502</v>
      </c>
      <c r="P61" s="13" cm="1">
        <f t="array" ref="P61">INDEX($AE$31:$AE$38,$B61,1)</f>
        <v>0</v>
      </c>
      <c r="Q61" s="13" t="b">
        <f t="shared" si="14"/>
        <v>0</v>
      </c>
      <c r="R61" s="91">
        <f>IF(Q61,P61/N61,1)</f>
        <v>1</v>
      </c>
      <c r="S61" s="13">
        <f t="shared" si="15"/>
        <v>0</v>
      </c>
      <c r="U61" s="13" cm="1">
        <f t="array" ref="U61:X61">IF($Q61,$P61/$N61*_xlfn.ANCHORARRAY(J61),_xlfn.ANCHORARRAY(J61))</f>
        <v>1629117.3236301369</v>
      </c>
      <c r="V61" s="13">
        <v>3306652.2448630133</v>
      </c>
      <c r="W61" s="13">
        <v>0</v>
      </c>
      <c r="X61" s="13">
        <v>0</v>
      </c>
      <c r="Y61" s="13">
        <f>IF($Q61,$P61/$N61*N61,N61)</f>
        <v>4935769.5684931502</v>
      </c>
      <c r="AA61" s="13" t="str" cm="1">
        <f t="array" ref="AA61">INDEX(AB$31:AB$38,$B61,1)</f>
        <v>XOL</v>
      </c>
      <c r="AB61" s="13" cm="1">
        <f t="array" ref="AB61">INDEX(AC$31:AC$38,$B61,1)</f>
        <v>5000000</v>
      </c>
      <c r="AC61" s="13" cm="1">
        <f t="array" ref="AC61">INDEX(AD$31:AD$38,$B61,1)</f>
        <v>5000000</v>
      </c>
      <c r="AD61" s="13" cm="1">
        <f t="array" ref="AD61">IF(INDEX(AE$31:AE$38,$B61,1)=0,9.9E+300,INDEX(AE$31:AE$38,$B61,1))</f>
        <v>9.9000000000000002E+300</v>
      </c>
      <c r="AE61" s="91" cm="1">
        <f t="array" ref="AE61">INDEX(AF$31:AF$38,$B61,1)</f>
        <v>1</v>
      </c>
      <c r="AF61" s="91" cm="1">
        <f t="array" ref="AF61">INDEX(AH$31:AH$38,$B61,1)</f>
        <v>0.1</v>
      </c>
      <c r="AG61" s="91" cm="1">
        <f t="array" ref="AG61">INDEX(AK$31:AK$38,$B61,1)</f>
        <v>1</v>
      </c>
      <c r="AH61" s="13" cm="1">
        <f t="array" ref="AH61">INDEX(AL$31:AL$38,$B61,1)</f>
        <v>20000000</v>
      </c>
      <c r="AI61" s="13" cm="1">
        <f t="array" ref="AI61">INDEX(AM$31:AM$38,$B61,1)</f>
        <v>1500000</v>
      </c>
      <c r="AK61" s="98">
        <f t="shared" si="16"/>
        <v>5000000</v>
      </c>
      <c r="AL61" s="98">
        <f t="shared" si="17"/>
        <v>500000</v>
      </c>
      <c r="AM61" s="13">
        <f t="shared" si="18"/>
        <v>0</v>
      </c>
      <c r="AN61" s="13">
        <f>MAX(Y61-AM61,0)</f>
        <v>4935769.5684931502</v>
      </c>
      <c r="AO61" s="13">
        <f t="shared" si="19"/>
        <v>0</v>
      </c>
      <c r="AP61" s="13">
        <f t="shared" si="20"/>
        <v>0</v>
      </c>
      <c r="AQ61" s="13">
        <f t="shared" si="21"/>
        <v>0</v>
      </c>
      <c r="AR61" s="114"/>
      <c r="AS61" s="13" cm="1">
        <f t="array" ref="AS61:AV61">IF(_xlfn.ANCHORARRAY(U61)&gt;0,_xlfn.ANCHORARRAY(AS60)-_xlfn.ANCHORARRAY(U61)/$Y61*$AM61-(1-$R61)*_xlfn.ANCHORARRAY(J61),_xlfn.ANCHORARRAY(AS60))</f>
        <v>330063.48878792836</v>
      </c>
      <c r="AT61" s="13">
        <v>-983389.611219435</v>
      </c>
      <c r="AU61" s="13">
        <v>0</v>
      </c>
      <c r="AV61" s="13">
        <v>0</v>
      </c>
      <c r="AW61" s="13">
        <f t="shared" si="22"/>
        <v>-653326.1224315064</v>
      </c>
      <c r="BG61"/>
      <c r="BL61" s="10"/>
    </row>
    <row r="62" spans="2:64">
      <c r="B62" s="93">
        <v>5</v>
      </c>
      <c r="C62" s="96" t="str">
        <f t="shared" si="11"/>
        <v>xol_4</v>
      </c>
      <c r="D62" s="13" cm="1">
        <f t="array" ref="D62">_xlfn.IFS(E35=0,D61,E35=E34,D61,E35&gt;MAX(E$31:E34),AS61)</f>
        <v>1629117.3236301369</v>
      </c>
      <c r="E62" s="13" cm="1">
        <f t="array" ref="E62">_xlfn.IFS(F35=0,E61,F35=F34,E61,F35&gt;MAX(F$31:F34),AT61)</f>
        <v>3306652.2448630133</v>
      </c>
      <c r="F62" s="13" cm="1">
        <f t="array" ref="F62">_xlfn.IFS(G35=0,F61,G35=G34,F61,G35&gt;MAX(G$31:G34),AU61)</f>
        <v>0</v>
      </c>
      <c r="G62" s="13" cm="1">
        <f t="array" ref="G62">_xlfn.IFS(H35=0,G61,H35=H34,G61,H35&gt;MAX(H$31:H34),AV61)</f>
        <v>0</v>
      </c>
      <c r="H62" s="13">
        <f t="shared" si="12"/>
        <v>4935769.5684931502</v>
      </c>
      <c r="J62" s="13" cm="1">
        <f t="array" ref="J62:M62">IF(INDEX($E$31:$H$38,$B62,0)&gt;0,$D62:$G62,0)</f>
        <v>1629117.3236301369</v>
      </c>
      <c r="K62" s="13">
        <v>3306652.2448630133</v>
      </c>
      <c r="L62" s="13">
        <v>0</v>
      </c>
      <c r="M62" s="13">
        <v>0</v>
      </c>
      <c r="N62" s="13">
        <f t="shared" si="13"/>
        <v>4935769.5684931502</v>
      </c>
      <c r="P62" s="13" cm="1">
        <f t="array" ref="P62">INDEX($AE$31:$AE$38,$B62,1)</f>
        <v>0</v>
      </c>
      <c r="Q62" s="13" t="b">
        <f t="shared" si="14"/>
        <v>0</v>
      </c>
      <c r="R62" s="91">
        <f>IF(Q62,P62/N62,1)</f>
        <v>1</v>
      </c>
      <c r="S62" s="13">
        <f t="shared" si="15"/>
        <v>0</v>
      </c>
      <c r="U62" s="13" cm="1">
        <f t="array" ref="U62:X62">IF($Q62,$P62/$N62*_xlfn.ANCHORARRAY(J62),_xlfn.ANCHORARRAY(J62))</f>
        <v>1629117.3236301369</v>
      </c>
      <c r="V62" s="13">
        <v>3306652.2448630133</v>
      </c>
      <c r="W62" s="13">
        <v>0</v>
      </c>
      <c r="X62" s="13">
        <v>0</v>
      </c>
      <c r="Y62" s="13">
        <f>IF($Q62,$P62/$N62*N62,N62)</f>
        <v>4935769.5684931502</v>
      </c>
      <c r="AA62" s="13" t="str" cm="1">
        <f t="array" ref="AA62">INDEX(AB$31:AB$38,$B62,1)</f>
        <v>XOL</v>
      </c>
      <c r="AB62" s="13" cm="1">
        <f t="array" ref="AB62">INDEX(AC$31:AC$38,$B62,1)</f>
        <v>10000000</v>
      </c>
      <c r="AC62" s="13" cm="1">
        <f t="array" ref="AC62">INDEX(AD$31:AD$38,$B62,1)</f>
        <v>10000000</v>
      </c>
      <c r="AD62" s="13" cm="1">
        <f t="array" ref="AD62">IF(INDEX(AE$31:AE$38,$B62,1)=0,9.9E+300,INDEX(AE$31:AE$38,$B62,1))</f>
        <v>9.9000000000000002E+300</v>
      </c>
      <c r="AE62" s="91" cm="1">
        <f t="array" ref="AE62">INDEX(AF$31:AF$38,$B62,1)</f>
        <v>1</v>
      </c>
      <c r="AF62" s="91" cm="1">
        <f t="array" ref="AF62">INDEX(AH$31:AH$38,$B62,1)</f>
        <v>0.05</v>
      </c>
      <c r="AG62" s="91" cm="1">
        <f t="array" ref="AG62">INDEX(AK$31:AK$38,$B62,1)</f>
        <v>1</v>
      </c>
      <c r="AH62" s="13" cm="1">
        <f t="array" ref="AH62">INDEX(AL$31:AL$38,$B62,1)</f>
        <v>20000000</v>
      </c>
      <c r="AI62" s="13" cm="1">
        <f t="array" ref="AI62">INDEX(AM$31:AM$38,$B62,1)</f>
        <v>500000</v>
      </c>
      <c r="AK62" s="98">
        <f t="shared" si="16"/>
        <v>10000000</v>
      </c>
      <c r="AL62" s="98">
        <f t="shared" si="17"/>
        <v>500000</v>
      </c>
      <c r="AM62" s="13">
        <f t="shared" si="18"/>
        <v>0</v>
      </c>
      <c r="AN62" s="13">
        <f>MAX(Y62-AM62,0)</f>
        <v>4935769.5684931502</v>
      </c>
      <c r="AO62" s="13">
        <f t="shared" si="19"/>
        <v>0</v>
      </c>
      <c r="AP62" s="13">
        <f t="shared" si="20"/>
        <v>0</v>
      </c>
      <c r="AQ62" s="13">
        <f t="shared" si="21"/>
        <v>0</v>
      </c>
      <c r="AR62" s="114"/>
      <c r="AS62" s="13" cm="1">
        <f t="array" ref="AS62:AV62">IF(_xlfn.ANCHORARRAY(U62)&gt;0,_xlfn.ANCHORARRAY(AS61)-_xlfn.ANCHORARRAY(U62)/$Y62*$AM62-(1-$R62)*_xlfn.ANCHORARRAY(J62),_xlfn.ANCHORARRAY(AS61))</f>
        <v>330063.48878792836</v>
      </c>
      <c r="AT62" s="13">
        <v>-983389.611219435</v>
      </c>
      <c r="AU62" s="13">
        <v>0</v>
      </c>
      <c r="AV62" s="13">
        <v>0</v>
      </c>
      <c r="AW62" s="13">
        <f t="shared" si="22"/>
        <v>-653326.1224315064</v>
      </c>
      <c r="BG62"/>
      <c r="BL62" s="10"/>
    </row>
    <row r="63" spans="2:64">
      <c r="B63" s="93">
        <v>6</v>
      </c>
      <c r="C63" s="96" t="str">
        <f t="shared" si="11"/>
        <v>xol_5</v>
      </c>
      <c r="D63" s="13" cm="1">
        <f t="array" ref="D63">_xlfn.IFS(E36=0,D62,E36=E35,D62,E36&gt;MAX(E$31:E35),AS62)</f>
        <v>1629117.3236301369</v>
      </c>
      <c r="E63" s="13" cm="1">
        <f t="array" ref="E63">_xlfn.IFS(F36=0,E62,F36=F35,E62,F36&gt;MAX(F$31:F35),AT62)</f>
        <v>3306652.2448630133</v>
      </c>
      <c r="F63" s="13" cm="1">
        <f t="array" ref="F63">_xlfn.IFS(G36=0,F62,G36=G35,F62,G36&gt;MAX(G$31:G35),AU62)</f>
        <v>0</v>
      </c>
      <c r="G63" s="13" cm="1">
        <f t="array" ref="G63">_xlfn.IFS(H36=0,G62,H36=H35,G62,H36&gt;MAX(H$31:H35),AV62)</f>
        <v>0</v>
      </c>
      <c r="H63" s="13">
        <f t="shared" si="12"/>
        <v>4935769.5684931502</v>
      </c>
      <c r="J63" s="13" cm="1">
        <f t="array" ref="J63:M63">IF(INDEX($E$31:$H$38,$B63,0)&gt;0,$D63:$G63,0)</f>
        <v>1629117.3236301369</v>
      </c>
      <c r="K63" s="13">
        <v>3306652.2448630133</v>
      </c>
      <c r="L63" s="13">
        <v>0</v>
      </c>
      <c r="M63" s="13">
        <v>0</v>
      </c>
      <c r="N63" s="13">
        <f t="shared" si="13"/>
        <v>4935769.5684931502</v>
      </c>
      <c r="P63" s="13" cm="1">
        <f t="array" ref="P63">INDEX($AE$31:$AE$38,$B63,1)</f>
        <v>0</v>
      </c>
      <c r="Q63" s="13" t="b">
        <f t="shared" si="14"/>
        <v>0</v>
      </c>
      <c r="R63" s="91">
        <f>IF(Q63,P63/N63,1)</f>
        <v>1</v>
      </c>
      <c r="S63" s="13">
        <f t="shared" si="15"/>
        <v>0</v>
      </c>
      <c r="U63" s="13" cm="1">
        <f t="array" ref="U63:X63">IF($Q63,$P63/$N63*_xlfn.ANCHORARRAY(J63),_xlfn.ANCHORARRAY(J63))</f>
        <v>1629117.3236301369</v>
      </c>
      <c r="V63" s="13">
        <v>3306652.2448630133</v>
      </c>
      <c r="W63" s="13">
        <v>0</v>
      </c>
      <c r="X63" s="13">
        <v>0</v>
      </c>
      <c r="Y63" s="13">
        <f>IF($Q63,$P63/$N63*N63,N63)</f>
        <v>4935769.5684931502</v>
      </c>
      <c r="AA63" s="13" t="str" cm="1">
        <f t="array" ref="AA63">INDEX(AB$31:AB$38,$B63,1)</f>
        <v>XOL</v>
      </c>
      <c r="AB63" s="13" cm="1">
        <f t="array" ref="AB63">INDEX(AC$31:AC$38,$B63,1)</f>
        <v>20000000</v>
      </c>
      <c r="AC63" s="13" cm="1">
        <f t="array" ref="AC63">INDEX(AD$31:AD$38,$B63,1)</f>
        <v>10000000</v>
      </c>
      <c r="AD63" s="13" cm="1">
        <f t="array" ref="AD63">IF(INDEX(AE$31:AE$38,$B63,1)=0,9.9E+300,INDEX(AE$31:AE$38,$B63,1))</f>
        <v>9.9000000000000002E+300</v>
      </c>
      <c r="AE63" s="91" cm="1">
        <f t="array" ref="AE63">INDEX(AF$31:AF$38,$B63,1)</f>
        <v>1</v>
      </c>
      <c r="AF63" s="91" cm="1">
        <f t="array" ref="AF63">INDEX(AH$31:AH$38,$B63,1)</f>
        <v>0.01</v>
      </c>
      <c r="AG63" s="91" cm="1">
        <f t="array" ref="AG63">INDEX(AK$31:AK$38,$B63,1)</f>
        <v>1</v>
      </c>
      <c r="AH63" s="13" cm="1">
        <f t="array" ref="AH63">INDEX(AL$31:AL$38,$B63,1)</f>
        <v>20000000</v>
      </c>
      <c r="AI63" s="13" cm="1">
        <f t="array" ref="AI63">INDEX(AM$31:AM$38,$B63,1)</f>
        <v>100000</v>
      </c>
      <c r="AK63" s="98">
        <f t="shared" si="16"/>
        <v>10000000</v>
      </c>
      <c r="AL63" s="98">
        <f t="shared" si="17"/>
        <v>100000</v>
      </c>
      <c r="AM63" s="13">
        <f t="shared" si="18"/>
        <v>0</v>
      </c>
      <c r="AN63" s="13">
        <f>MAX(Y63-AM63,0)</f>
        <v>4935769.5684931502</v>
      </c>
      <c r="AO63" s="13">
        <f t="shared" si="19"/>
        <v>0</v>
      </c>
      <c r="AP63" s="13">
        <f t="shared" si="20"/>
        <v>0</v>
      </c>
      <c r="AQ63" s="13">
        <f t="shared" si="21"/>
        <v>0</v>
      </c>
      <c r="AR63" s="114"/>
      <c r="AS63" s="13" cm="1">
        <f t="array" ref="AS63:AV63">IF(_xlfn.ANCHORARRAY(U63)&gt;0,_xlfn.ANCHORARRAY(AS62)-_xlfn.ANCHORARRAY(U63)/$Y63*$AM63-(1-$R63)*_xlfn.ANCHORARRAY(J63),_xlfn.ANCHORARRAY(AS62))</f>
        <v>330063.48878792836</v>
      </c>
      <c r="AT63" s="13">
        <v>-983389.611219435</v>
      </c>
      <c r="AU63" s="13">
        <v>0</v>
      </c>
      <c r="AV63" s="13">
        <v>0</v>
      </c>
      <c r="AW63" s="13">
        <f t="shared" si="22"/>
        <v>-653326.1224315064</v>
      </c>
      <c r="BG63"/>
      <c r="BL63" s="10"/>
    </row>
    <row r="64" spans="2:64">
      <c r="B64" s="93">
        <v>7</v>
      </c>
      <c r="C64" s="96" t="str">
        <f t="shared" si="11"/>
        <v>later_prop</v>
      </c>
      <c r="D64" s="13" cm="1">
        <f t="array" ref="D64">_xlfn.IFS(E37=0,D63,E37=E36,D63,E37&gt;MAX(E$31:E36),AS63)</f>
        <v>330063.48878792836</v>
      </c>
      <c r="E64" s="13" cm="1">
        <f t="array" ref="E64">_xlfn.IFS(F37=0,E63,F37=F36,E63,F37&gt;MAX(F$31:F36),AT63)</f>
        <v>3306652.2448630133</v>
      </c>
      <c r="F64" s="13" cm="1">
        <f t="array" ref="F64">_xlfn.IFS(G37=0,F63,G37=G36,F63,G37&gt;MAX(G$31:G36),AU63)</f>
        <v>0</v>
      </c>
      <c r="G64" s="13" cm="1">
        <f t="array" ref="G64">_xlfn.IFS(H37=0,G63,H37=H36,G63,H37&gt;MAX(H$31:H36),AV63)</f>
        <v>0</v>
      </c>
      <c r="H64" s="13">
        <f t="shared" si="12"/>
        <v>3636715.7336509414</v>
      </c>
      <c r="J64" s="13" cm="1">
        <f t="array" ref="J64:M64">IF(INDEX($E$31:$H$38,$B64,0)&gt;0,$D64:$G64,0)</f>
        <v>330063.48878792836</v>
      </c>
      <c r="K64" s="13">
        <v>3306652.2448630133</v>
      </c>
      <c r="L64" s="13">
        <v>0</v>
      </c>
      <c r="M64" s="13">
        <v>0</v>
      </c>
      <c r="N64" s="13">
        <f t="shared" si="13"/>
        <v>3636715.7336509414</v>
      </c>
      <c r="P64" s="13" cm="1">
        <f t="array" ref="P64">INDEX($AE$31:$AE$38,$B64,1)</f>
        <v>5000000</v>
      </c>
      <c r="Q64" s="13" t="b">
        <f t="shared" si="14"/>
        <v>0</v>
      </c>
      <c r="R64" s="91">
        <f>IF(Q64,P64/N64,1)</f>
        <v>1</v>
      </c>
      <c r="S64" s="13">
        <f t="shared" si="15"/>
        <v>0</v>
      </c>
      <c r="U64" s="13" cm="1">
        <f t="array" ref="U64:X64">IF($Q64,$P64/$N64*_xlfn.ANCHORARRAY(J64),_xlfn.ANCHORARRAY(J64))</f>
        <v>330063.48878792836</v>
      </c>
      <c r="V64" s="13">
        <v>3306652.2448630133</v>
      </c>
      <c r="W64" s="13">
        <v>0</v>
      </c>
      <c r="X64" s="13">
        <v>0</v>
      </c>
      <c r="Y64" s="13">
        <f>IF($Q64,$P64/$N64*N64,N64)</f>
        <v>3636715.7336509414</v>
      </c>
      <c r="AA64" s="13" t="str" cm="1">
        <f t="array" ref="AA64">INDEX(AB$31:AB$38,$B64,1)</f>
        <v>PROP</v>
      </c>
      <c r="AB64" s="13" cm="1">
        <f t="array" ref="AB64">INDEX(AC$31:AC$38,$B64,1)</f>
        <v>0</v>
      </c>
      <c r="AC64" s="13" cm="1">
        <f t="array" ref="AC64">INDEX(AD$31:AD$38,$B64,1)</f>
        <v>0</v>
      </c>
      <c r="AD64" s="13" cm="1">
        <f t="array" ref="AD64">IF(INDEX(AE$31:AE$38,$B64,1)=0,9.9E+300,INDEX(AE$31:AE$38,$B64,1))</f>
        <v>5000000</v>
      </c>
      <c r="AE64" s="91" cm="1">
        <f t="array" ref="AE64">INDEX(AF$31:AF$38,$B64,1)</f>
        <v>0.7</v>
      </c>
      <c r="AF64" s="91" cm="1">
        <f t="array" ref="AF64">INDEX(AH$31:AH$38,$B64,1)</f>
        <v>0</v>
      </c>
      <c r="AG64" s="91" cm="1">
        <f t="array" ref="AG64">INDEX(AK$31:AK$38,$B64,1)</f>
        <v>1</v>
      </c>
      <c r="AH64" s="13" cm="1">
        <f t="array" ref="AH64">INDEX(AL$31:AL$38,$B64,1)</f>
        <v>0</v>
      </c>
      <c r="AI64" s="13" cm="1">
        <f t="array" ref="AI64">INDEX(AM$31:AM$38,$B64,1)</f>
        <v>0</v>
      </c>
      <c r="AK64" s="98">
        <f t="shared" si="16"/>
        <v>3500000</v>
      </c>
      <c r="AL64" s="98">
        <f t="shared" si="17"/>
        <v>0</v>
      </c>
      <c r="AM64" s="13">
        <f t="shared" si="18"/>
        <v>2545701.013555659</v>
      </c>
      <c r="AN64" s="13">
        <f>MAX(Y64-AM64,0)</f>
        <v>1091014.7200952824</v>
      </c>
      <c r="AO64" s="13">
        <f t="shared" si="19"/>
        <v>2545701.013555659</v>
      </c>
      <c r="AP64" s="13">
        <f t="shared" si="20"/>
        <v>0</v>
      </c>
      <c r="AQ64" s="13">
        <f t="shared" si="21"/>
        <v>2545701.013555659</v>
      </c>
      <c r="AR64" s="114"/>
      <c r="AS64" s="13" cm="1">
        <f t="array" ref="AS64:AV64">IF(_xlfn.ANCHORARRAY(U64)&gt;0,_xlfn.ANCHORARRAY(AS63)-_xlfn.ANCHORARRAY(U64)/$Y64*$AM64-(1-$R64)*_xlfn.ANCHORARRAY(J64),_xlfn.ANCHORARRAY(AS63))</f>
        <v>99019.046636378509</v>
      </c>
      <c r="AT64" s="13">
        <v>-3298046.1826235442</v>
      </c>
      <c r="AU64" s="13">
        <v>0</v>
      </c>
      <c r="AV64" s="13">
        <v>0</v>
      </c>
      <c r="AW64" s="13">
        <f t="shared" si="22"/>
        <v>-3199027.1359871654</v>
      </c>
      <c r="BG64"/>
      <c r="BL64" s="10"/>
    </row>
    <row r="65" spans="2:64">
      <c r="B65" s="93">
        <v>8</v>
      </c>
      <c r="C65" s="96" t="str">
        <f t="shared" si="11"/>
        <v>xol_6</v>
      </c>
      <c r="D65" s="62" cm="1">
        <f t="array" ref="D65">_xlfn.IFS(E38=0,D64,E38=E37,D64,E38&gt;MAX(E$31:E37),AS64)</f>
        <v>330063.48878792836</v>
      </c>
      <c r="E65" s="62" cm="1">
        <f t="array" ref="E65">_xlfn.IFS(F38=0,E64,F38=F37,E64,F38&gt;MAX(F$31:F37),AT64)</f>
        <v>3306652.2448630133</v>
      </c>
      <c r="F65" s="62" cm="1">
        <f t="array" ref="F65">_xlfn.IFS(G38=0,F64,G38=G37,F64,G38&gt;MAX(G$31:G37),AU64)</f>
        <v>0</v>
      </c>
      <c r="G65" s="62" cm="1">
        <f t="array" ref="G65">_xlfn.IFS(H38=0,G64,H38=H37,G64,H38&gt;MAX(H$31:H37),AV64)</f>
        <v>0</v>
      </c>
      <c r="H65" s="62">
        <f t="shared" si="12"/>
        <v>3636715.7336509414</v>
      </c>
      <c r="J65" s="62" cm="1">
        <f t="array" ref="J65:M65">IF(INDEX($E$31:$H$38,$B65,0)&gt;0,$D65:$G65,0)</f>
        <v>0</v>
      </c>
      <c r="K65" s="62">
        <v>3306652.2448630133</v>
      </c>
      <c r="L65" s="62">
        <v>0</v>
      </c>
      <c r="M65" s="62">
        <v>0</v>
      </c>
      <c r="N65" s="62">
        <f t="shared" si="13"/>
        <v>3306652.2448630133</v>
      </c>
      <c r="P65" s="62" cm="1">
        <f t="array" ref="P65">INDEX($AE$31:$AE$38,$B65,1)</f>
        <v>0</v>
      </c>
      <c r="Q65" s="62" t="b">
        <f t="shared" si="14"/>
        <v>0</v>
      </c>
      <c r="R65" s="92">
        <f>IF(Q65,P65/N65,1)</f>
        <v>1</v>
      </c>
      <c r="S65" s="62">
        <f t="shared" si="15"/>
        <v>0</v>
      </c>
      <c r="U65" s="62" cm="1">
        <f t="array" ref="U65:X65">IF($Q65,$P65/$N65*_xlfn.ANCHORARRAY(J65),_xlfn.ANCHORARRAY(J65))</f>
        <v>0</v>
      </c>
      <c r="V65" s="62">
        <v>3306652.2448630133</v>
      </c>
      <c r="W65" s="62">
        <v>0</v>
      </c>
      <c r="X65" s="62">
        <v>0</v>
      </c>
      <c r="Y65" s="62">
        <f>IF($Q65,$P65/$N65*N65,N65)</f>
        <v>3306652.2448630133</v>
      </c>
      <c r="AA65" s="62" t="str" cm="1">
        <f t="array" ref="AA65">INDEX(AB$31:AB$38,$B65,1)</f>
        <v>XOL</v>
      </c>
      <c r="AB65" s="62" cm="1">
        <f t="array" ref="AB65">INDEX(AC$31:AC$38,$B65,1)</f>
        <v>99000</v>
      </c>
      <c r="AC65" s="62" cm="1">
        <f t="array" ref="AC65">INDEX(AD$31:AD$38,$B65,1)</f>
        <v>1000</v>
      </c>
      <c r="AD65" s="62" cm="1">
        <f t="array" ref="AD65">IF(INDEX(AE$31:AE$38,$B65,1)=0,9.9E+300,INDEX(AE$31:AE$38,$B65,1))</f>
        <v>9.9000000000000002E+300</v>
      </c>
      <c r="AE65" s="92" cm="1">
        <f t="array" ref="AE65">INDEX(AF$31:AF$38,$B65,1)</f>
        <v>1</v>
      </c>
      <c r="AF65" s="92" cm="1">
        <f t="array" ref="AF65">INDEX(AH$31:AH$38,$B65,1)</f>
        <v>0</v>
      </c>
      <c r="AG65" s="92" cm="1">
        <f t="array" ref="AG65">INDEX(AK$31:AK$38,$B65,1)</f>
        <v>1</v>
      </c>
      <c r="AH65" s="62" cm="1">
        <f t="array" ref="AH65">INDEX(AL$31:AL$38,$B65,1)</f>
        <v>1000</v>
      </c>
      <c r="AI65" s="62" cm="1">
        <f t="array" ref="AI65">INDEX(AM$31:AM$38,$B65,1)</f>
        <v>0</v>
      </c>
      <c r="AK65" s="99">
        <f t="shared" si="16"/>
        <v>1000</v>
      </c>
      <c r="AL65" s="99">
        <f t="shared" si="17"/>
        <v>0</v>
      </c>
      <c r="AM65" s="62">
        <f t="shared" si="18"/>
        <v>1000</v>
      </c>
      <c r="AN65" s="62">
        <f>MAX(Y65-AM65,0)</f>
        <v>3305652.2448630133</v>
      </c>
      <c r="AO65" s="62">
        <f t="shared" si="19"/>
        <v>0</v>
      </c>
      <c r="AP65" s="62">
        <f t="shared" si="20"/>
        <v>0</v>
      </c>
      <c r="AQ65" s="62">
        <f t="shared" si="21"/>
        <v>0</v>
      </c>
      <c r="AR65" s="114"/>
      <c r="AS65" s="62" cm="1">
        <f t="array" ref="AS65:AV65">IF(_xlfn.ANCHORARRAY(U65)&gt;0,_xlfn.ANCHORARRAY(AS64)-_xlfn.ANCHORARRAY(U65)/$Y65*$AM65-(1-$R65)*_xlfn.ANCHORARRAY(J65),_xlfn.ANCHORARRAY(AS64))</f>
        <v>99019.046636378509</v>
      </c>
      <c r="AT65" s="62">
        <v>-3299046.1826235442</v>
      </c>
      <c r="AU65" s="62">
        <v>0</v>
      </c>
      <c r="AV65" s="62">
        <v>0</v>
      </c>
      <c r="AW65" s="62">
        <f t="shared" si="22"/>
        <v>-3200027.1359871654</v>
      </c>
      <c r="BG65"/>
      <c r="BL65" s="10"/>
    </row>
    <row r="66" spans="2:64">
      <c r="BG66"/>
      <c r="BL66" s="10"/>
    </row>
    <row r="67" spans="2:64">
      <c r="BG67"/>
      <c r="BL67" s="10"/>
    </row>
    <row r="68" spans="2:64">
      <c r="C68" s="14" t="s">
        <v>448</v>
      </c>
      <c r="BG68"/>
      <c r="BL68" s="10"/>
    </row>
    <row r="69" spans="2:64">
      <c r="BG69"/>
      <c r="BL69" s="10"/>
    </row>
    <row r="70" spans="2:64">
      <c r="D70" s="109" t="s">
        <v>454</v>
      </c>
      <c r="E70" s="109"/>
      <c r="F70" s="109"/>
      <c r="G70" s="109"/>
      <c r="H70" s="109"/>
      <c r="J70" s="109" t="s">
        <v>482</v>
      </c>
      <c r="K70" s="109"/>
      <c r="L70" s="109"/>
      <c r="M70" s="109"/>
      <c r="N70" s="109"/>
      <c r="U70" s="109" t="s">
        <v>468</v>
      </c>
      <c r="V70" s="109"/>
      <c r="W70" s="109"/>
      <c r="X70" s="109"/>
      <c r="Y70" s="109"/>
      <c r="AA70" s="109" t="s">
        <v>492</v>
      </c>
      <c r="AB70" s="109"/>
      <c r="AC70" s="109"/>
      <c r="AD70" s="109"/>
      <c r="AE70" s="109"/>
      <c r="AF70" s="109"/>
      <c r="AG70" s="109"/>
      <c r="AH70" s="109"/>
      <c r="AI70" s="109"/>
      <c r="AS70" s="110" t="s">
        <v>455</v>
      </c>
      <c r="AT70" s="110"/>
      <c r="AU70" s="110"/>
      <c r="AV70" s="110"/>
      <c r="AW70" s="110"/>
      <c r="BG70"/>
      <c r="BL70" s="10"/>
    </row>
    <row r="71" spans="2:64">
      <c r="C71" s="95" t="s">
        <v>407</v>
      </c>
      <c r="D71" s="95" t="str">
        <f>$E$10</f>
        <v>motor</v>
      </c>
      <c r="E71" s="95" t="str">
        <f>$F$10</f>
        <v>prop</v>
      </c>
      <c r="F71" s="85"/>
      <c r="G71" s="85"/>
      <c r="H71" s="85" t="s">
        <v>436</v>
      </c>
      <c r="J71" s="95" t="str">
        <f>$E$10</f>
        <v>motor</v>
      </c>
      <c r="K71" s="95" t="str">
        <f>$F$10</f>
        <v>prop</v>
      </c>
      <c r="L71" s="85"/>
      <c r="M71" s="85"/>
      <c r="N71" s="85" t="s">
        <v>436</v>
      </c>
      <c r="P71" s="95" t="s">
        <v>482</v>
      </c>
      <c r="Q71" s="95" t="s">
        <v>483</v>
      </c>
      <c r="R71" s="95" t="s">
        <v>484</v>
      </c>
      <c r="S71" s="95" t="s">
        <v>485</v>
      </c>
      <c r="U71" s="95" t="str">
        <f>$E$10</f>
        <v>motor</v>
      </c>
      <c r="V71" s="95" t="str">
        <f>$F$10</f>
        <v>prop</v>
      </c>
      <c r="W71" s="85"/>
      <c r="X71" s="85"/>
      <c r="Y71" s="85" t="s">
        <v>436</v>
      </c>
      <c r="AA71" s="85" t="s">
        <v>408</v>
      </c>
      <c r="AB71" s="85" t="s">
        <v>409</v>
      </c>
      <c r="AC71" s="85" t="s">
        <v>410</v>
      </c>
      <c r="AD71" s="85" t="s">
        <v>411</v>
      </c>
      <c r="AE71" s="85" t="s">
        <v>26</v>
      </c>
      <c r="AF71" s="85" t="s">
        <v>413</v>
      </c>
      <c r="AG71" s="85" t="s">
        <v>457</v>
      </c>
      <c r="AH71" s="85" t="s">
        <v>463</v>
      </c>
      <c r="AI71" s="85" t="s">
        <v>491</v>
      </c>
      <c r="AK71" s="85" t="s">
        <v>461</v>
      </c>
      <c r="AL71" s="85" t="s">
        <v>471</v>
      </c>
      <c r="AM71" s="85" t="s">
        <v>459</v>
      </c>
      <c r="AN71" s="85" t="s">
        <v>455</v>
      </c>
      <c r="AO71" s="85" t="s">
        <v>456</v>
      </c>
      <c r="AP71" s="85" t="s">
        <v>460</v>
      </c>
      <c r="AQ71" s="85" t="s">
        <v>458</v>
      </c>
      <c r="AS71" s="77" t="str">
        <f>$E$10</f>
        <v>motor</v>
      </c>
      <c r="AT71" s="77" t="str">
        <f>$F$10</f>
        <v>prop</v>
      </c>
      <c r="AU71" s="77"/>
      <c r="AV71" s="77"/>
      <c r="AW71" s="77" t="s">
        <v>436</v>
      </c>
      <c r="BG71"/>
      <c r="BL71" s="10"/>
    </row>
    <row r="72" spans="2:64">
      <c r="B72" s="93">
        <v>1</v>
      </c>
      <c r="C72" s="96" t="str">
        <f>C58</f>
        <v>prop</v>
      </c>
      <c r="D72" s="100">
        <f>E22</f>
        <v>24436759.8544521</v>
      </c>
      <c r="E72" s="100">
        <f>F22</f>
        <v>49599783.672945149</v>
      </c>
      <c r="F72" s="100">
        <f>G22</f>
        <v>0</v>
      </c>
      <c r="G72" s="100">
        <f>H22</f>
        <v>0</v>
      </c>
      <c r="H72" s="100">
        <f>SUM(D72:G72)</f>
        <v>74036543.527397245</v>
      </c>
      <c r="J72" s="12" cm="1">
        <f t="array" ref="J72:M72">IF(INDEX($E$31:$H$38,$B72,0)&gt;0,$D72:$G72,0)</f>
        <v>0</v>
      </c>
      <c r="K72" s="12">
        <v>49599783.672945149</v>
      </c>
      <c r="L72" s="12">
        <v>0</v>
      </c>
      <c r="M72" s="12">
        <v>0</v>
      </c>
      <c r="N72" s="12">
        <f>SUM(_xlfn.ANCHORARRAY(J72))</f>
        <v>49599783.672945149</v>
      </c>
      <c r="P72" s="12" cm="1">
        <f t="array" ref="P72">INDEX($AE$31:$AE$38,$B72,1)</f>
        <v>500000000</v>
      </c>
      <c r="Q72" s="12" t="b">
        <f>AND(N72&gt;P72,P72&gt;0)</f>
        <v>0</v>
      </c>
      <c r="R72" s="90">
        <f>IF(Q72,P72/N72,1)</f>
        <v>1</v>
      </c>
      <c r="S72" s="12">
        <f>IF(P72&gt;0,MAX(N72-P72,0),0)</f>
        <v>0</v>
      </c>
      <c r="U72" s="12" cm="1">
        <f t="array" ref="U72:X72">IF($Q72,$P72/$N72*_xlfn.ANCHORARRAY(J72),_xlfn.ANCHORARRAY(J72))</f>
        <v>0</v>
      </c>
      <c r="V72" s="12">
        <v>49599783.672945149</v>
      </c>
      <c r="W72" s="12">
        <v>0</v>
      </c>
      <c r="X72" s="12">
        <v>0</v>
      </c>
      <c r="Y72" s="12">
        <f>IF($Q72,$P72/$N72*N72,N72)</f>
        <v>49599783.672945149</v>
      </c>
      <c r="AA72" s="12" t="str" cm="1">
        <f t="array" ref="AA72">INDEX(AB$31:AB$38,$B72,1)</f>
        <v>PROP</v>
      </c>
      <c r="AB72" s="12" cm="1">
        <f t="array" ref="AB72">INDEX(AC$31:AC$38,$B72,1)</f>
        <v>0</v>
      </c>
      <c r="AC72" s="12" cm="1">
        <f t="array" ref="AC72">INDEX(AD$31:AD$38,$B72,1)</f>
        <v>0</v>
      </c>
      <c r="AD72" s="12" cm="1">
        <f t="array" ref="AD72">IF(INDEX(AE$31:AE$38,$B72,1)=0,9.9E+300,INDEX(AE$31:AE$38,$B72,1))</f>
        <v>500000000</v>
      </c>
      <c r="AE72" s="90" cm="1">
        <f t="array" ref="AE72">INDEX(AF$31:AF$38,$B72,1)</f>
        <v>0.5</v>
      </c>
      <c r="AF72" s="90" cm="1">
        <f t="array" ref="AF72">INDEX(AH$31:AH$38,$B72,1)</f>
        <v>0</v>
      </c>
      <c r="AG72" s="90" cm="1">
        <f t="array" ref="AG72">INDEX(AK$31:AK$38,$B72,1)</f>
        <v>0.95</v>
      </c>
      <c r="AH72" s="12" cm="1">
        <f t="array" ref="AH72">INDEX(AL$31:AL$38,$B72,1)</f>
        <v>0</v>
      </c>
      <c r="AI72" s="12" cm="1">
        <f t="array" ref="AI72">INDEX(AM$31:AM$38,$B72,1)</f>
        <v>0</v>
      </c>
      <c r="AK72" s="97">
        <f>AK58+AM58</f>
        <v>14470261.372431507</v>
      </c>
      <c r="AL72" s="97">
        <f>AL58+AP58</f>
        <v>0</v>
      </c>
      <c r="AM72" s="12">
        <f>IF(AA72="PROP",Y72*AE72,MIN(MAX(Y72-AB72,0),AC72)*AE72)</f>
        <v>24799891.836472575</v>
      </c>
      <c r="AN72" s="12">
        <f>MAX(Y72-AM72,0)</f>
        <v>24799891.836472575</v>
      </c>
      <c r="AO72" s="12">
        <f>_xlfn.LET(_xlpm.base,MIN(AM72,AD72),
_xlpm.remain,MAX(AH72-AK72,0),
IF(AA72="PROP", _xlpm.base*AG72,MIN(_xlpm.base,_xlpm.remain)*AG72))</f>
        <v>23559897.244648945</v>
      </c>
      <c r="AP72" s="12">
        <f>_xlfn.LET(_xlpm.base,AO72*AF72,
_xlpm.remain,MAX(AI72-AL72,0),
IF(AB72="PROP", 0,MIN(_xlpm.base,_xlpm.remain)))</f>
        <v>0</v>
      </c>
      <c r="AQ72" s="12">
        <f>AO72-AP72</f>
        <v>23559897.244648945</v>
      </c>
      <c r="AR72" s="114"/>
      <c r="AS72" s="12" cm="1">
        <f t="array" ref="AS72:AV72">IF(_xlfn.ANCHORARRAY(U72)&gt;0,$D72:$G72*$R72-_xlfn.ANCHORARRAY(U72)*$AM72/$Y72,$D72:$G72)</f>
        <v>24436759.8544521</v>
      </c>
      <c r="AT72" s="12">
        <v>24799891.836472578</v>
      </c>
      <c r="AU72" s="12">
        <v>0</v>
      </c>
      <c r="AV72" s="12">
        <v>0</v>
      </c>
      <c r="AW72" s="100">
        <f>H72-S72-AM72</f>
        <v>49236651.690924674</v>
      </c>
      <c r="BG72"/>
      <c r="BL72" s="10"/>
    </row>
    <row r="73" spans="2:64">
      <c r="B73" s="93">
        <v>2</v>
      </c>
      <c r="C73" s="96" t="str">
        <f t="shared" ref="C73:C79" si="23">C59</f>
        <v>xol_1</v>
      </c>
      <c r="D73" s="13" cm="1">
        <f t="array" ref="D73">_xlfn.IFS(E32=0,D72,E32=E31,D72,E32&gt;MAX(E$31:E31),AS72)</f>
        <v>24436759.8544521</v>
      </c>
      <c r="E73" s="13" cm="1">
        <f t="array" ref="E73">_xlfn.IFS(F32=0,E72,F32=F31,E72,F32&gt;MAX(F$31:F31),AT72)</f>
        <v>49599783.672945149</v>
      </c>
      <c r="F73" s="13" cm="1">
        <f t="array" ref="F73">_xlfn.IFS(G32=0,F72,G32=G31,F72,G32&gt;MAX(G$31:G31),AU72)</f>
        <v>0</v>
      </c>
      <c r="G73" s="13" cm="1">
        <f t="array" ref="G73">_xlfn.IFS(H32=0,G72,H32=H31,G72,H32&gt;MAX(H$31:H31),AV72)</f>
        <v>0</v>
      </c>
      <c r="H73" s="13">
        <f t="shared" ref="H73:H79" si="24">SUM(D73:G73)</f>
        <v>74036543.527397245</v>
      </c>
      <c r="J73" s="13" cm="1">
        <f t="array" ref="J73:M73">IF(INDEX($E$31:$H$38,$B73,0)&gt;0,$D73:$G73,0)</f>
        <v>24436759.8544521</v>
      </c>
      <c r="K73" s="13">
        <v>49599783.672945149</v>
      </c>
      <c r="L73" s="13">
        <v>0</v>
      </c>
      <c r="M73" s="13">
        <v>0</v>
      </c>
      <c r="N73" s="13">
        <f t="shared" ref="N73:N79" si="25">SUM(_xlfn.ANCHORARRAY(J73))</f>
        <v>74036543.527397245</v>
      </c>
      <c r="P73" s="13" cm="1">
        <f t="array" ref="P73">INDEX($AE$31:$AE$38,$B73,1)</f>
        <v>30000000</v>
      </c>
      <c r="Q73" s="13" t="b">
        <f t="shared" ref="Q73:Q79" si="26">AND(N73&gt;P73,P73&gt;0)</f>
        <v>1</v>
      </c>
      <c r="R73" s="91">
        <f>IF(Q73,P73/N73,1)</f>
        <v>0.40520530228289886</v>
      </c>
      <c r="S73" s="13">
        <f t="shared" ref="S73:S79" si="27">IF(P73&gt;0,MAX(N73-P73,0),0)</f>
        <v>44036543.527397245</v>
      </c>
      <c r="U73" s="13" cm="1">
        <f t="array" ref="U73:X73">IF($Q73,$P73/$N73*_xlfn.ANCHORARRAY(J73),_xlfn.ANCHORARRAY(J73))</f>
        <v>9901904.6636378709</v>
      </c>
      <c r="V73" s="13">
        <v>20098095.336362131</v>
      </c>
      <c r="W73" s="13">
        <v>0</v>
      </c>
      <c r="X73" s="13">
        <v>0</v>
      </c>
      <c r="Y73" s="13">
        <f>IF($Q73,$P73/$N73*N73,N73)</f>
        <v>30000000</v>
      </c>
      <c r="AA73" s="13" t="str" cm="1">
        <f t="array" ref="AA73">INDEX(AB$31:AB$38,$B73,1)</f>
        <v>XOL</v>
      </c>
      <c r="AB73" s="13" cm="1">
        <f t="array" ref="AB73">INDEX(AC$31:AC$38,$B73,1)</f>
        <v>1000000</v>
      </c>
      <c r="AC73" s="13" cm="1">
        <f t="array" ref="AC73">INDEX(AD$31:AD$38,$B73,1)</f>
        <v>2000000</v>
      </c>
      <c r="AD73" s="13" cm="1">
        <f t="array" ref="AD73">IF(INDEX(AE$31:AE$38,$B73,1)=0,9.9E+300,INDEX(AE$31:AE$38,$B73,1))</f>
        <v>30000000</v>
      </c>
      <c r="AE73" s="91" cm="1">
        <f t="array" ref="AE73">INDEX(AF$31:AF$38,$B73,1)</f>
        <v>1</v>
      </c>
      <c r="AF73" s="91" cm="1">
        <f t="array" ref="AF73">INDEX(AH$31:AH$38,$B73,1)</f>
        <v>0.3</v>
      </c>
      <c r="AG73" s="91" cm="1">
        <f t="array" ref="AG73">INDEX(AK$31:AK$38,$B73,1)</f>
        <v>0.8</v>
      </c>
      <c r="AH73" s="13" cm="1">
        <f t="array" ref="AH73">INDEX(AL$31:AL$38,$B73,1)</f>
        <v>12000000</v>
      </c>
      <c r="AI73" s="13" cm="1">
        <f t="array" ref="AI73">INDEX(AM$31:AM$38,$B73,1)</f>
        <v>3000000</v>
      </c>
      <c r="AK73" s="98">
        <f t="shared" ref="AK73:AK79" si="28">AK59+AM59</f>
        <v>4000000</v>
      </c>
      <c r="AL73" s="98">
        <f t="shared" ref="AL73:AL79" si="29">AL59+AP59</f>
        <v>960000</v>
      </c>
      <c r="AM73" s="13">
        <f t="shared" ref="AM73:AM79" si="30">IF(AA73="PROP",Y73*AE73,MIN(MAX(Y73-AB73,0),AC73)*AE73)</f>
        <v>2000000</v>
      </c>
      <c r="AN73" s="13">
        <f>MAX(Y73-AM73,0)</f>
        <v>28000000</v>
      </c>
      <c r="AO73" s="13">
        <f t="shared" ref="AO73:AO79" si="31">_xlfn.LET(_xlpm.base,MIN(AM73,AD73),
_xlpm.remain,MAX(AH73-AK73,0),
IF(AA73="PROP", _xlpm.base*AG73,MIN(_xlpm.base,_xlpm.remain)*AG73))</f>
        <v>1600000</v>
      </c>
      <c r="AP73" s="13">
        <f t="shared" ref="AP73:AP79" si="32">_xlfn.LET(_xlpm.base,AO73*AF73,
_xlpm.remain,MAX(AI73-AL73,0),
IF(AB73="PROP", 0,MIN(_xlpm.base,_xlpm.remain)))</f>
        <v>480000</v>
      </c>
      <c r="AQ73" s="13">
        <f t="shared" ref="AQ73:AQ79" si="33">AO73-AP73</f>
        <v>1120000</v>
      </c>
      <c r="AR73" s="114"/>
      <c r="AS73" s="13" cm="1">
        <f t="array" ref="AS73:AV73">IF(_xlfn.ANCHORARRAY(U73)&gt;0,_xlfn.ANCHORARRAY(AS72)-_xlfn.ANCHORARRAY(U73)*$AM73/$Y73-(1-$R73)*_xlfn.ANCHORARRAY(J73),_xlfn.ANCHORARRAY(AS72))</f>
        <v>9241777.6860620137</v>
      </c>
      <c r="AT73" s="13">
        <v>-6041669.5225345828</v>
      </c>
      <c r="AU73" s="13">
        <v>0</v>
      </c>
      <c r="AV73" s="13">
        <v>0</v>
      </c>
      <c r="AW73" s="13">
        <f>AW72-S73-AM73</f>
        <v>3200108.1635274291</v>
      </c>
      <c r="BG73"/>
      <c r="BL73" s="10"/>
    </row>
    <row r="74" spans="2:64">
      <c r="B74" s="93">
        <v>3</v>
      </c>
      <c r="C74" s="96" t="str">
        <f t="shared" si="23"/>
        <v>xol_2</v>
      </c>
      <c r="D74" s="13" cm="1">
        <f t="array" ref="D74">_xlfn.IFS(E33=0,D73,E33=E32,D73,E33&gt;MAX(E$31:E32),AS73)</f>
        <v>24436759.8544521</v>
      </c>
      <c r="E74" s="13" cm="1">
        <f t="array" ref="E74">_xlfn.IFS(F33=0,E73,F33=F32,E73,F33&gt;MAX(F$31:F32),AT73)</f>
        <v>49599783.672945149</v>
      </c>
      <c r="F74" s="13" cm="1">
        <f t="array" ref="F74">_xlfn.IFS(G33=0,F73,G33=G32,F73,G33&gt;MAX(G$31:G32),AU73)</f>
        <v>0</v>
      </c>
      <c r="G74" s="13" cm="1">
        <f t="array" ref="G74">_xlfn.IFS(H33=0,G73,H33=H32,G73,H33&gt;MAX(H$31:H32),AV73)</f>
        <v>0</v>
      </c>
      <c r="H74" s="13">
        <f t="shared" si="24"/>
        <v>74036543.527397245</v>
      </c>
      <c r="J74" s="13" cm="1">
        <f t="array" ref="J74:M74">IF(INDEX($E$31:$H$38,$B74,0)&gt;0,$D74:$G74,0)</f>
        <v>24436759.8544521</v>
      </c>
      <c r="K74" s="13">
        <v>49599783.672945149</v>
      </c>
      <c r="L74" s="13">
        <v>0</v>
      </c>
      <c r="M74" s="13">
        <v>0</v>
      </c>
      <c r="N74" s="13">
        <f t="shared" si="25"/>
        <v>74036543.527397245</v>
      </c>
      <c r="P74" s="13" cm="1">
        <f t="array" ref="P74">INDEX($AE$31:$AE$38,$B74,1)</f>
        <v>0</v>
      </c>
      <c r="Q74" s="13" t="b">
        <f t="shared" si="26"/>
        <v>0</v>
      </c>
      <c r="R74" s="91">
        <f>IF(Q74,P74/N74,1)</f>
        <v>1</v>
      </c>
      <c r="S74" s="13">
        <f t="shared" si="27"/>
        <v>0</v>
      </c>
      <c r="U74" s="13" cm="1">
        <f t="array" ref="U74:X74">IF($Q74,$P74/$N74*_xlfn.ANCHORARRAY(J74),_xlfn.ANCHORARRAY(J74))</f>
        <v>24436759.8544521</v>
      </c>
      <c r="V74" s="13">
        <v>49599783.672945149</v>
      </c>
      <c r="W74" s="13">
        <v>0</v>
      </c>
      <c r="X74" s="13">
        <v>0</v>
      </c>
      <c r="Y74" s="13">
        <f>IF($Q74,$P74/$N74*N74,N74)</f>
        <v>74036543.527397245</v>
      </c>
      <c r="AA74" s="13" t="str" cm="1">
        <f t="array" ref="AA74">INDEX(AB$31:AB$38,$B74,1)</f>
        <v>XOL</v>
      </c>
      <c r="AB74" s="13" cm="1">
        <f t="array" ref="AB74">INDEX(AC$31:AC$38,$B74,1)</f>
        <v>3000000</v>
      </c>
      <c r="AC74" s="13" cm="1">
        <f t="array" ref="AC74">INDEX(AD$31:AD$38,$B74,1)</f>
        <v>2000000</v>
      </c>
      <c r="AD74" s="13" cm="1">
        <f t="array" ref="AD74">IF(INDEX(AE$31:AE$38,$B74,1)=0,9.9E+300,INDEX(AE$31:AE$38,$B74,1))</f>
        <v>9.9000000000000002E+300</v>
      </c>
      <c r="AE74" s="91" cm="1">
        <f t="array" ref="AE74">INDEX(AF$31:AF$38,$B74,1)</f>
        <v>1</v>
      </c>
      <c r="AF74" s="91" cm="1">
        <f t="array" ref="AF74">INDEX(AH$31:AH$38,$B74,1)</f>
        <v>0.2</v>
      </c>
      <c r="AG74" s="91" cm="1">
        <f t="array" ref="AG74">INDEX(AK$31:AK$38,$B74,1)</f>
        <v>1</v>
      </c>
      <c r="AH74" s="13" cm="1">
        <f t="array" ref="AH74">INDEX(AL$31:AL$38,$B74,1)</f>
        <v>8000000</v>
      </c>
      <c r="AI74" s="13" cm="1">
        <f t="array" ref="AI74">INDEX(AM$31:AM$38,$B74,1)</f>
        <v>1200000</v>
      </c>
      <c r="AK74" s="98">
        <f t="shared" si="28"/>
        <v>3935769.5684931502</v>
      </c>
      <c r="AL74" s="98">
        <f t="shared" si="29"/>
        <v>787153.91369863006</v>
      </c>
      <c r="AM74" s="13">
        <f t="shared" si="30"/>
        <v>2000000</v>
      </c>
      <c r="AN74" s="13">
        <f>MAX(Y74-AM74,0)</f>
        <v>72036543.527397245</v>
      </c>
      <c r="AO74" s="13">
        <f t="shared" si="31"/>
        <v>2000000</v>
      </c>
      <c r="AP74" s="13">
        <f t="shared" si="32"/>
        <v>400000</v>
      </c>
      <c r="AQ74" s="13">
        <f t="shared" si="33"/>
        <v>1600000</v>
      </c>
      <c r="AR74" s="114"/>
      <c r="AS74" s="13" cm="1">
        <f t="array" ref="AS74:AV74">IF(_xlfn.ANCHORARRAY(U74)&gt;0,_xlfn.ANCHORARRAY(AS73)-_xlfn.ANCHORARRAY(U74)*$AM74/$Y74-(1-$R74)*_xlfn.ANCHORARRAY(J74),_xlfn.ANCHORARRAY(AS73))</f>
        <v>8581650.7084861547</v>
      </c>
      <c r="AT74" s="13">
        <v>-7381542.5449587246</v>
      </c>
      <c r="AU74" s="13">
        <v>0</v>
      </c>
      <c r="AV74" s="13">
        <v>0</v>
      </c>
      <c r="AW74" s="13">
        <f t="shared" ref="AW74:AW79" si="34">AW73-S74-AM74</f>
        <v>1200108.1635274291</v>
      </c>
      <c r="BG74"/>
      <c r="BL74" s="10"/>
    </row>
    <row r="75" spans="2:64">
      <c r="B75" s="93">
        <v>4</v>
      </c>
      <c r="C75" s="96" t="str">
        <f t="shared" si="23"/>
        <v>xol_3</v>
      </c>
      <c r="D75" s="13" cm="1">
        <f t="array" ref="D75">_xlfn.IFS(E34=0,D74,E34=E33,D74,E34&gt;MAX(E$31:E33),AS74)</f>
        <v>24436759.8544521</v>
      </c>
      <c r="E75" s="13" cm="1">
        <f t="array" ref="E75">_xlfn.IFS(F34=0,E74,F34=F33,E74,F34&gt;MAX(F$31:F33),AT74)</f>
        <v>49599783.672945149</v>
      </c>
      <c r="F75" s="13" cm="1">
        <f t="array" ref="F75">_xlfn.IFS(G34=0,F74,G34=G33,F74,G34&gt;MAX(G$31:G33),AU74)</f>
        <v>0</v>
      </c>
      <c r="G75" s="13" cm="1">
        <f t="array" ref="G75">_xlfn.IFS(H34=0,G74,H34=H33,G74,H34&gt;MAX(H$31:H33),AV74)</f>
        <v>0</v>
      </c>
      <c r="H75" s="13">
        <f t="shared" si="24"/>
        <v>74036543.527397245</v>
      </c>
      <c r="J75" s="13" cm="1">
        <f t="array" ref="J75:M75">IF(INDEX($E$31:$H$38,$B75,0)&gt;0,$D75:$G75,0)</f>
        <v>24436759.8544521</v>
      </c>
      <c r="K75" s="13">
        <v>49599783.672945149</v>
      </c>
      <c r="L75" s="13">
        <v>0</v>
      </c>
      <c r="M75" s="13">
        <v>0</v>
      </c>
      <c r="N75" s="13">
        <f t="shared" si="25"/>
        <v>74036543.527397245</v>
      </c>
      <c r="P75" s="13" cm="1">
        <f t="array" ref="P75">INDEX($AE$31:$AE$38,$B75,1)</f>
        <v>0</v>
      </c>
      <c r="Q75" s="13" t="b">
        <f t="shared" si="26"/>
        <v>0</v>
      </c>
      <c r="R75" s="91">
        <f>IF(Q75,P75/N75,1)</f>
        <v>1</v>
      </c>
      <c r="S75" s="13">
        <f t="shared" si="27"/>
        <v>0</v>
      </c>
      <c r="U75" s="13" cm="1">
        <f t="array" ref="U75:X75">IF($Q75,$P75/$N75*_xlfn.ANCHORARRAY(J75),_xlfn.ANCHORARRAY(J75))</f>
        <v>24436759.8544521</v>
      </c>
      <c r="V75" s="13">
        <v>49599783.672945149</v>
      </c>
      <c r="W75" s="13">
        <v>0</v>
      </c>
      <c r="X75" s="13">
        <v>0</v>
      </c>
      <c r="Y75" s="13">
        <f>IF($Q75,$P75/$N75*N75,N75)</f>
        <v>74036543.527397245</v>
      </c>
      <c r="AA75" s="13" t="str" cm="1">
        <f t="array" ref="AA75">INDEX(AB$31:AB$38,$B75,1)</f>
        <v>XOL</v>
      </c>
      <c r="AB75" s="13" cm="1">
        <f t="array" ref="AB75">INDEX(AC$31:AC$38,$B75,1)</f>
        <v>5000000</v>
      </c>
      <c r="AC75" s="13" cm="1">
        <f t="array" ref="AC75">INDEX(AD$31:AD$38,$B75,1)</f>
        <v>5000000</v>
      </c>
      <c r="AD75" s="13" cm="1">
        <f t="array" ref="AD75">IF(INDEX(AE$31:AE$38,$B75,1)=0,9.9E+300,INDEX(AE$31:AE$38,$B75,1))</f>
        <v>9.9000000000000002E+300</v>
      </c>
      <c r="AE75" s="91" cm="1">
        <f t="array" ref="AE75">INDEX(AF$31:AF$38,$B75,1)</f>
        <v>1</v>
      </c>
      <c r="AF75" s="91" cm="1">
        <f t="array" ref="AF75">INDEX(AH$31:AH$38,$B75,1)</f>
        <v>0.1</v>
      </c>
      <c r="AG75" s="91" cm="1">
        <f t="array" ref="AG75">INDEX(AK$31:AK$38,$B75,1)</f>
        <v>1</v>
      </c>
      <c r="AH75" s="13" cm="1">
        <f t="array" ref="AH75">INDEX(AL$31:AL$38,$B75,1)</f>
        <v>20000000</v>
      </c>
      <c r="AI75" s="13" cm="1">
        <f t="array" ref="AI75">INDEX(AM$31:AM$38,$B75,1)</f>
        <v>1500000</v>
      </c>
      <c r="AK75" s="98">
        <f t="shared" si="28"/>
        <v>5000000</v>
      </c>
      <c r="AL75" s="98">
        <f t="shared" si="29"/>
        <v>500000</v>
      </c>
      <c r="AM75" s="13">
        <f t="shared" si="30"/>
        <v>5000000</v>
      </c>
      <c r="AN75" s="13">
        <f>MAX(Y75-AM75,0)</f>
        <v>69036543.527397245</v>
      </c>
      <c r="AO75" s="13">
        <f t="shared" si="31"/>
        <v>5000000</v>
      </c>
      <c r="AP75" s="13">
        <f t="shared" si="32"/>
        <v>500000</v>
      </c>
      <c r="AQ75" s="13">
        <f t="shared" si="33"/>
        <v>4500000</v>
      </c>
      <c r="AR75" s="114"/>
      <c r="AS75" s="13" cm="1">
        <f t="array" ref="AS75:AV75">IF(_xlfn.ANCHORARRAY(U75)&gt;0,_xlfn.ANCHORARRAY(AS74)-_xlfn.ANCHORARRAY(U75)*$AM75/$Y75-(1-$R75)*_xlfn.ANCHORARRAY(J75),_xlfn.ANCHORARRAY(AS74))</f>
        <v>6931333.2645465098</v>
      </c>
      <c r="AT75" s="13">
        <v>-10731225.101019081</v>
      </c>
      <c r="AU75" s="13">
        <v>0</v>
      </c>
      <c r="AV75" s="13">
        <v>0</v>
      </c>
      <c r="AW75" s="13">
        <f t="shared" si="34"/>
        <v>-3799891.8364725709</v>
      </c>
      <c r="BG75"/>
      <c r="BL75" s="10"/>
    </row>
    <row r="76" spans="2:64">
      <c r="B76" s="93">
        <v>5</v>
      </c>
      <c r="C76" s="96" t="str">
        <f t="shared" si="23"/>
        <v>xol_4</v>
      </c>
      <c r="D76" s="13" cm="1">
        <f t="array" ref="D76">_xlfn.IFS(E35=0,D75,E35=E34,D75,E35&gt;MAX(E$31:E34),AS75)</f>
        <v>24436759.8544521</v>
      </c>
      <c r="E76" s="13" cm="1">
        <f t="array" ref="E76">_xlfn.IFS(F35=0,E75,F35=F34,E75,F35&gt;MAX(F$31:F34),AT75)</f>
        <v>49599783.672945149</v>
      </c>
      <c r="F76" s="13" cm="1">
        <f t="array" ref="F76">_xlfn.IFS(G35=0,F75,G35=G34,F75,G35&gt;MAX(G$31:G34),AU75)</f>
        <v>0</v>
      </c>
      <c r="G76" s="13" cm="1">
        <f t="array" ref="G76">_xlfn.IFS(H35=0,G75,H35=H34,G75,H35&gt;MAX(H$31:H34),AV75)</f>
        <v>0</v>
      </c>
      <c r="H76" s="13">
        <f t="shared" si="24"/>
        <v>74036543.527397245</v>
      </c>
      <c r="J76" s="13" cm="1">
        <f t="array" ref="J76:M76">IF(INDEX($E$31:$H$38,$B76,0)&gt;0,$D76:$G76,0)</f>
        <v>24436759.8544521</v>
      </c>
      <c r="K76" s="13">
        <v>49599783.672945149</v>
      </c>
      <c r="L76" s="13">
        <v>0</v>
      </c>
      <c r="M76" s="13">
        <v>0</v>
      </c>
      <c r="N76" s="13">
        <f t="shared" si="25"/>
        <v>74036543.527397245</v>
      </c>
      <c r="P76" s="13" cm="1">
        <f t="array" ref="P76">INDEX($AE$31:$AE$38,$B76,1)</f>
        <v>0</v>
      </c>
      <c r="Q76" s="13" t="b">
        <f t="shared" si="26"/>
        <v>0</v>
      </c>
      <c r="R76" s="91">
        <f>IF(Q76,P76/N76,1)</f>
        <v>1</v>
      </c>
      <c r="S76" s="13">
        <f t="shared" si="27"/>
        <v>0</v>
      </c>
      <c r="U76" s="13" cm="1">
        <f t="array" ref="U76:X76">IF($Q76,$P76/$N76*_xlfn.ANCHORARRAY(J76),_xlfn.ANCHORARRAY(J76))</f>
        <v>24436759.8544521</v>
      </c>
      <c r="V76" s="13">
        <v>49599783.672945149</v>
      </c>
      <c r="W76" s="13">
        <v>0</v>
      </c>
      <c r="X76" s="13">
        <v>0</v>
      </c>
      <c r="Y76" s="13">
        <f>IF($Q76,$P76/$N76*N76,N76)</f>
        <v>74036543.527397245</v>
      </c>
      <c r="AA76" s="13" t="str" cm="1">
        <f t="array" ref="AA76">INDEX(AB$31:AB$38,$B76,1)</f>
        <v>XOL</v>
      </c>
      <c r="AB76" s="13" cm="1">
        <f t="array" ref="AB76">INDEX(AC$31:AC$38,$B76,1)</f>
        <v>10000000</v>
      </c>
      <c r="AC76" s="13" cm="1">
        <f t="array" ref="AC76">INDEX(AD$31:AD$38,$B76,1)</f>
        <v>10000000</v>
      </c>
      <c r="AD76" s="13" cm="1">
        <f t="array" ref="AD76">IF(INDEX(AE$31:AE$38,$B76,1)=0,9.9E+300,INDEX(AE$31:AE$38,$B76,1))</f>
        <v>9.9000000000000002E+300</v>
      </c>
      <c r="AE76" s="91" cm="1">
        <f t="array" ref="AE76">INDEX(AF$31:AF$38,$B76,1)</f>
        <v>1</v>
      </c>
      <c r="AF76" s="91" cm="1">
        <f t="array" ref="AF76">INDEX(AH$31:AH$38,$B76,1)</f>
        <v>0.05</v>
      </c>
      <c r="AG76" s="91" cm="1">
        <f t="array" ref="AG76">INDEX(AK$31:AK$38,$B76,1)</f>
        <v>1</v>
      </c>
      <c r="AH76" s="13" cm="1">
        <f t="array" ref="AH76">INDEX(AL$31:AL$38,$B76,1)</f>
        <v>20000000</v>
      </c>
      <c r="AI76" s="13" cm="1">
        <f t="array" ref="AI76">INDEX(AM$31:AM$38,$B76,1)</f>
        <v>500000</v>
      </c>
      <c r="AK76" s="98">
        <f t="shared" si="28"/>
        <v>10000000</v>
      </c>
      <c r="AL76" s="98">
        <f t="shared" si="29"/>
        <v>500000</v>
      </c>
      <c r="AM76" s="13">
        <f t="shared" si="30"/>
        <v>10000000</v>
      </c>
      <c r="AN76" s="13">
        <f>MAX(Y76-AM76,0)</f>
        <v>64036543.527397245</v>
      </c>
      <c r="AO76" s="13">
        <f t="shared" si="31"/>
        <v>10000000</v>
      </c>
      <c r="AP76" s="13">
        <f t="shared" si="32"/>
        <v>0</v>
      </c>
      <c r="AQ76" s="13">
        <f t="shared" si="33"/>
        <v>10000000</v>
      </c>
      <c r="AR76" s="114"/>
      <c r="AS76" s="13" cm="1">
        <f t="array" ref="AS76:AV76">IF(_xlfn.ANCHORARRAY(U76)&gt;0,_xlfn.ANCHORARRAY(AS75)-_xlfn.ANCHORARRAY(U76)*$AM76/$Y76-(1-$R76)*_xlfn.ANCHORARRAY(J76),_xlfn.ANCHORARRAY(AS75))</f>
        <v>3630698.3766672197</v>
      </c>
      <c r="AT76" s="13">
        <v>-17430590.213139791</v>
      </c>
      <c r="AU76" s="13">
        <v>0</v>
      </c>
      <c r="AV76" s="13">
        <v>0</v>
      </c>
      <c r="AW76" s="13">
        <f t="shared" si="34"/>
        <v>-13799891.836472571</v>
      </c>
      <c r="BG76"/>
      <c r="BL76" s="10"/>
    </row>
    <row r="77" spans="2:64">
      <c r="B77" s="93">
        <v>6</v>
      </c>
      <c r="C77" s="96" t="str">
        <f t="shared" si="23"/>
        <v>xol_5</v>
      </c>
      <c r="D77" s="13" cm="1">
        <f t="array" ref="D77">_xlfn.IFS(E36=0,D76,E36=E35,D76,E36&gt;MAX(E$31:E35),AS76)</f>
        <v>24436759.8544521</v>
      </c>
      <c r="E77" s="13" cm="1">
        <f t="array" ref="E77">_xlfn.IFS(F36=0,E76,F36=F35,E76,F36&gt;MAX(F$31:F35),AT76)</f>
        <v>49599783.672945149</v>
      </c>
      <c r="F77" s="13" cm="1">
        <f t="array" ref="F77">_xlfn.IFS(G36=0,F76,G36=G35,F76,G36&gt;MAX(G$31:G35),AU76)</f>
        <v>0</v>
      </c>
      <c r="G77" s="13" cm="1">
        <f t="array" ref="G77">_xlfn.IFS(H36=0,G76,H36=H35,G76,H36&gt;MAX(H$31:H35),AV76)</f>
        <v>0</v>
      </c>
      <c r="H77" s="13">
        <f t="shared" si="24"/>
        <v>74036543.527397245</v>
      </c>
      <c r="J77" s="13" cm="1">
        <f t="array" ref="J77:M77">IF(INDEX($E$31:$H$38,$B77,0)&gt;0,$D77:$G77,0)</f>
        <v>24436759.8544521</v>
      </c>
      <c r="K77" s="13">
        <v>49599783.672945149</v>
      </c>
      <c r="L77" s="13">
        <v>0</v>
      </c>
      <c r="M77" s="13">
        <v>0</v>
      </c>
      <c r="N77" s="13">
        <f t="shared" si="25"/>
        <v>74036543.527397245</v>
      </c>
      <c r="P77" s="13" cm="1">
        <f t="array" ref="P77">INDEX($AE$31:$AE$38,$B77,1)</f>
        <v>0</v>
      </c>
      <c r="Q77" s="13" t="b">
        <f t="shared" si="26"/>
        <v>0</v>
      </c>
      <c r="R77" s="91">
        <f>IF(Q77,P77/N77,1)</f>
        <v>1</v>
      </c>
      <c r="S77" s="13">
        <f t="shared" si="27"/>
        <v>0</v>
      </c>
      <c r="U77" s="13" cm="1">
        <f t="array" ref="U77:X77">IF($Q77,$P77/$N77*_xlfn.ANCHORARRAY(J77),_xlfn.ANCHORARRAY(J77))</f>
        <v>24436759.8544521</v>
      </c>
      <c r="V77" s="13">
        <v>49599783.672945149</v>
      </c>
      <c r="W77" s="13">
        <v>0</v>
      </c>
      <c r="X77" s="13">
        <v>0</v>
      </c>
      <c r="Y77" s="13">
        <f>IF($Q77,$P77/$N77*N77,N77)</f>
        <v>74036543.527397245</v>
      </c>
      <c r="AA77" s="13" t="str" cm="1">
        <f t="array" ref="AA77">INDEX(AB$31:AB$38,$B77,1)</f>
        <v>XOL</v>
      </c>
      <c r="AB77" s="13" cm="1">
        <f t="array" ref="AB77">INDEX(AC$31:AC$38,$B77,1)</f>
        <v>20000000</v>
      </c>
      <c r="AC77" s="13" cm="1">
        <f t="array" ref="AC77">INDEX(AD$31:AD$38,$B77,1)</f>
        <v>10000000</v>
      </c>
      <c r="AD77" s="13" cm="1">
        <f t="array" ref="AD77">IF(INDEX(AE$31:AE$38,$B77,1)=0,9.9E+300,INDEX(AE$31:AE$38,$B77,1))</f>
        <v>9.9000000000000002E+300</v>
      </c>
      <c r="AE77" s="91" cm="1">
        <f t="array" ref="AE77">INDEX(AF$31:AF$38,$B77,1)</f>
        <v>1</v>
      </c>
      <c r="AF77" s="91" cm="1">
        <f t="array" ref="AF77">INDEX(AH$31:AH$38,$B77,1)</f>
        <v>0.01</v>
      </c>
      <c r="AG77" s="91" cm="1">
        <f t="array" ref="AG77">INDEX(AK$31:AK$38,$B77,1)</f>
        <v>1</v>
      </c>
      <c r="AH77" s="13" cm="1">
        <f t="array" ref="AH77">INDEX(AL$31:AL$38,$B77,1)</f>
        <v>20000000</v>
      </c>
      <c r="AI77" s="13" cm="1">
        <f t="array" ref="AI77">INDEX(AM$31:AM$38,$B77,1)</f>
        <v>100000</v>
      </c>
      <c r="AK77" s="98">
        <f t="shared" si="28"/>
        <v>10000000</v>
      </c>
      <c r="AL77" s="98">
        <f t="shared" si="29"/>
        <v>100000</v>
      </c>
      <c r="AM77" s="13">
        <f t="shared" si="30"/>
        <v>10000000</v>
      </c>
      <c r="AN77" s="13">
        <f>MAX(Y77-AM77,0)</f>
        <v>64036543.527397245</v>
      </c>
      <c r="AO77" s="13">
        <f t="shared" si="31"/>
        <v>10000000</v>
      </c>
      <c r="AP77" s="13">
        <f t="shared" si="32"/>
        <v>0</v>
      </c>
      <c r="AQ77" s="13">
        <f t="shared" si="33"/>
        <v>10000000</v>
      </c>
      <c r="AR77" s="114"/>
      <c r="AS77" s="13" cm="1">
        <f t="array" ref="AS77:AV77">IF(_xlfn.ANCHORARRAY(U77)&gt;0,_xlfn.ANCHORARRAY(AS76)-_xlfn.ANCHORARRAY(U77)*$AM77/$Y77-(1-$R77)*_xlfn.ANCHORARRAY(J77),_xlfn.ANCHORARRAY(AS76))</f>
        <v>330063.48878792953</v>
      </c>
      <c r="AT77" s="13">
        <v>-24129955.325260501</v>
      </c>
      <c r="AU77" s="13">
        <v>0</v>
      </c>
      <c r="AV77" s="13">
        <v>0</v>
      </c>
      <c r="AW77" s="13">
        <f t="shared" si="34"/>
        <v>-23799891.836472571</v>
      </c>
      <c r="BG77"/>
      <c r="BL77" s="10"/>
    </row>
    <row r="78" spans="2:64">
      <c r="B78" s="93">
        <v>7</v>
      </c>
      <c r="C78" s="96" t="str">
        <f t="shared" si="23"/>
        <v>later_prop</v>
      </c>
      <c r="D78" s="13" cm="1">
        <f t="array" ref="D78">_xlfn.IFS(E37=0,D77,E37=E36,D77,E37&gt;MAX(E$31:E36),AS77)</f>
        <v>330063.48878792953</v>
      </c>
      <c r="E78" s="13" cm="1">
        <f t="array" ref="E78">_xlfn.IFS(F37=0,E77,F37=F36,E77,F37&gt;MAX(F$31:F36),AT77)</f>
        <v>49599783.672945149</v>
      </c>
      <c r="F78" s="13" cm="1">
        <f t="array" ref="F78">_xlfn.IFS(G37=0,F77,G37=G36,F77,G37&gt;MAX(G$31:G36),AU77)</f>
        <v>0</v>
      </c>
      <c r="G78" s="13" cm="1">
        <f t="array" ref="G78">_xlfn.IFS(H37=0,G77,H37=H36,G77,H37&gt;MAX(H$31:H36),AV77)</f>
        <v>0</v>
      </c>
      <c r="H78" s="13">
        <f t="shared" si="24"/>
        <v>49929847.161733076</v>
      </c>
      <c r="J78" s="13" cm="1">
        <f t="array" ref="J78:M78">IF(INDEX($E$31:$H$38,$B78,0)&gt;0,$D78:$G78,0)</f>
        <v>330063.48878792953</v>
      </c>
      <c r="K78" s="13">
        <v>49599783.672945149</v>
      </c>
      <c r="L78" s="13">
        <v>0</v>
      </c>
      <c r="M78" s="13">
        <v>0</v>
      </c>
      <c r="N78" s="13">
        <f t="shared" si="25"/>
        <v>49929847.161733076</v>
      </c>
      <c r="P78" s="13" cm="1">
        <f t="array" ref="P78">INDEX($AE$31:$AE$38,$B78,1)</f>
        <v>5000000</v>
      </c>
      <c r="Q78" s="13" t="b">
        <f t="shared" si="26"/>
        <v>1</v>
      </c>
      <c r="R78" s="91">
        <f>IF(Q78,P78/N78,1)</f>
        <v>0.1001405028099519</v>
      </c>
      <c r="S78" s="13">
        <f t="shared" si="27"/>
        <v>44929847.161733076</v>
      </c>
      <c r="U78" s="13" cm="1">
        <f t="array" ref="U78:X78">IF($Q78,$P78/$N78*_xlfn.ANCHORARRAY(J78),_xlfn.ANCHORARRAY(J78))</f>
        <v>33052.723726430188</v>
      </c>
      <c r="V78" s="13">
        <v>4966947.27627357</v>
      </c>
      <c r="W78" s="13">
        <v>0</v>
      </c>
      <c r="X78" s="13">
        <v>0</v>
      </c>
      <c r="Y78" s="13">
        <f>IF($Q78,$P78/$N78*N78,N78)</f>
        <v>5000000</v>
      </c>
      <c r="AA78" s="13" t="str" cm="1">
        <f t="array" ref="AA78">INDEX(AB$31:AB$38,$B78,1)</f>
        <v>PROP</v>
      </c>
      <c r="AB78" s="13" cm="1">
        <f t="array" ref="AB78">INDEX(AC$31:AC$38,$B78,1)</f>
        <v>0</v>
      </c>
      <c r="AC78" s="13" cm="1">
        <f t="array" ref="AC78">INDEX(AD$31:AD$38,$B78,1)</f>
        <v>0</v>
      </c>
      <c r="AD78" s="13" cm="1">
        <f t="array" ref="AD78">IF(INDEX(AE$31:AE$38,$B78,1)=0,9.9E+300,INDEX(AE$31:AE$38,$B78,1))</f>
        <v>5000000</v>
      </c>
      <c r="AE78" s="91" cm="1">
        <f t="array" ref="AE78">INDEX(AF$31:AF$38,$B78,1)</f>
        <v>0.7</v>
      </c>
      <c r="AF78" s="91" cm="1">
        <f t="array" ref="AF78">INDEX(AH$31:AH$38,$B78,1)</f>
        <v>0</v>
      </c>
      <c r="AG78" s="91" cm="1">
        <f t="array" ref="AG78">INDEX(AK$31:AK$38,$B78,1)</f>
        <v>1</v>
      </c>
      <c r="AH78" s="13" cm="1">
        <f t="array" ref="AH78">INDEX(AL$31:AL$38,$B78,1)</f>
        <v>0</v>
      </c>
      <c r="AI78" s="13" cm="1">
        <f t="array" ref="AI78">INDEX(AM$31:AM$38,$B78,1)</f>
        <v>0</v>
      </c>
      <c r="AK78" s="98">
        <f t="shared" si="28"/>
        <v>6045701.013555659</v>
      </c>
      <c r="AL78" s="98">
        <f t="shared" si="29"/>
        <v>0</v>
      </c>
      <c r="AM78" s="13">
        <f t="shared" si="30"/>
        <v>3500000</v>
      </c>
      <c r="AN78" s="13">
        <f>MAX(Y78-AM78,0)</f>
        <v>1500000</v>
      </c>
      <c r="AO78" s="13">
        <f t="shared" si="31"/>
        <v>3500000</v>
      </c>
      <c r="AP78" s="13">
        <f t="shared" si="32"/>
        <v>0</v>
      </c>
      <c r="AQ78" s="13">
        <f t="shared" si="33"/>
        <v>3500000</v>
      </c>
      <c r="AR78" s="114"/>
      <c r="AS78" s="13" cm="1">
        <f t="array" ref="AS78:AV78">IF(_xlfn.ANCHORARRAY(U78)&gt;0,_xlfn.ANCHORARRAY(AS77)-_xlfn.ANCHORARRAY(U78)*$AM78/$Y78-(1-$R78)*_xlfn.ANCHORARRAY(J78),_xlfn.ANCHORARRAY(AS77))</f>
        <v>9915.8171179290512</v>
      </c>
      <c r="AT78" s="13">
        <v>-72239654.815323576</v>
      </c>
      <c r="AU78" s="13">
        <v>0</v>
      </c>
      <c r="AV78" s="13">
        <v>0</v>
      </c>
      <c r="AW78" s="13">
        <f t="shared" si="34"/>
        <v>-72229738.998205647</v>
      </c>
      <c r="BG78"/>
      <c r="BL78" s="10"/>
    </row>
    <row r="79" spans="2:64">
      <c r="B79" s="93">
        <v>8</v>
      </c>
      <c r="C79" s="96" t="str">
        <f t="shared" si="23"/>
        <v>xol_6</v>
      </c>
      <c r="D79" s="62" cm="1">
        <f t="array" ref="D79">_xlfn.IFS(E38=0,D78,E38=E37,D78,E38&gt;MAX(E$31:E37),AS78)</f>
        <v>330063.48878792953</v>
      </c>
      <c r="E79" s="62" cm="1">
        <f t="array" ref="E79">_xlfn.IFS(F38=0,E78,F38=F37,E78,F38&gt;MAX(F$31:F37),AT78)</f>
        <v>49599783.672945149</v>
      </c>
      <c r="F79" s="62" cm="1">
        <f t="array" ref="F79">_xlfn.IFS(G38=0,F78,G38=G37,F78,G38&gt;MAX(G$31:G37),AU78)</f>
        <v>0</v>
      </c>
      <c r="G79" s="62" cm="1">
        <f t="array" ref="G79">_xlfn.IFS(H38=0,G78,H38=H37,G78,H38&gt;MAX(H$31:H37),AV78)</f>
        <v>0</v>
      </c>
      <c r="H79" s="62">
        <f t="shared" si="24"/>
        <v>49929847.161733076</v>
      </c>
      <c r="J79" s="62" cm="1">
        <f t="array" ref="J79:M79">IF(INDEX($E$31:$H$38,$B79,0)&gt;0,$D79:$G79,0)</f>
        <v>0</v>
      </c>
      <c r="K79" s="62">
        <v>49599783.672945149</v>
      </c>
      <c r="L79" s="62">
        <v>0</v>
      </c>
      <c r="M79" s="62">
        <v>0</v>
      </c>
      <c r="N79" s="62">
        <f t="shared" si="25"/>
        <v>49599783.672945149</v>
      </c>
      <c r="P79" s="62" cm="1">
        <f t="array" ref="P79">INDEX($AE$31:$AE$38,$B79,1)</f>
        <v>0</v>
      </c>
      <c r="Q79" s="62" t="b">
        <f t="shared" si="26"/>
        <v>0</v>
      </c>
      <c r="R79" s="92">
        <f>IF(Q79,P79/N79,1)</f>
        <v>1</v>
      </c>
      <c r="S79" s="62">
        <f t="shared" si="27"/>
        <v>0</v>
      </c>
      <c r="U79" s="62" cm="1">
        <f t="array" ref="U79:X79">IF($Q79,$P79/$N79*_xlfn.ANCHORARRAY(J79),_xlfn.ANCHORARRAY(J79))</f>
        <v>0</v>
      </c>
      <c r="V79" s="62">
        <v>49599783.672945149</v>
      </c>
      <c r="W79" s="62">
        <v>0</v>
      </c>
      <c r="X79" s="62">
        <v>0</v>
      </c>
      <c r="Y79" s="62">
        <f>IF($Q79,$P79/$N79*N79,N79)</f>
        <v>49599783.672945149</v>
      </c>
      <c r="AA79" s="62" t="str" cm="1">
        <f t="array" ref="AA79">INDEX(AB$31:AB$38,$B79,1)</f>
        <v>XOL</v>
      </c>
      <c r="AB79" s="62" cm="1">
        <f t="array" ref="AB79">INDEX(AC$31:AC$38,$B79,1)</f>
        <v>99000</v>
      </c>
      <c r="AC79" s="62" cm="1">
        <f t="array" ref="AC79">INDEX(AD$31:AD$38,$B79,1)</f>
        <v>1000</v>
      </c>
      <c r="AD79" s="62" cm="1">
        <f t="array" ref="AD79">IF(INDEX(AE$31:AE$38,$B79,1)=0,9.9E+300,INDEX(AE$31:AE$38,$B79,1))</f>
        <v>9.9000000000000002E+300</v>
      </c>
      <c r="AE79" s="92" cm="1">
        <f t="array" ref="AE79">INDEX(AF$31:AF$38,$B79,1)</f>
        <v>1</v>
      </c>
      <c r="AF79" s="92" cm="1">
        <f t="array" ref="AF79">INDEX(AH$31:AH$38,$B79,1)</f>
        <v>0</v>
      </c>
      <c r="AG79" s="92" cm="1">
        <f t="array" ref="AG79">INDEX(AK$31:AK$38,$B79,1)</f>
        <v>1</v>
      </c>
      <c r="AH79" s="62" cm="1">
        <f t="array" ref="AH79">INDEX(AL$31:AL$38,$B79,1)</f>
        <v>1000</v>
      </c>
      <c r="AI79" s="62" cm="1">
        <f t="array" ref="AI79">INDEX(AM$31:AM$38,$B79,1)</f>
        <v>0</v>
      </c>
      <c r="AK79" s="99">
        <f t="shared" si="28"/>
        <v>2000</v>
      </c>
      <c r="AL79" s="99">
        <f t="shared" si="29"/>
        <v>0</v>
      </c>
      <c r="AM79" s="62">
        <f t="shared" si="30"/>
        <v>1000</v>
      </c>
      <c r="AN79" s="62">
        <f>MAX(Y79-AM79,0)</f>
        <v>49598783.672945149</v>
      </c>
      <c r="AO79" s="62">
        <f t="shared" si="31"/>
        <v>0</v>
      </c>
      <c r="AP79" s="62">
        <f t="shared" si="32"/>
        <v>0</v>
      </c>
      <c r="AQ79" s="62">
        <f t="shared" si="33"/>
        <v>0</v>
      </c>
      <c r="AR79" s="114"/>
      <c r="AS79" s="62" cm="1">
        <f t="array" ref="AS79:AV79">IF(_xlfn.ANCHORARRAY(U79)&gt;0,_xlfn.ANCHORARRAY(AS78)-_xlfn.ANCHORARRAY(U79)*$AM79/$Y79-(1-$R79)*_xlfn.ANCHORARRAY(J79),_xlfn.ANCHORARRAY(AS78))</f>
        <v>9915.8171179290512</v>
      </c>
      <c r="AT79" s="62">
        <v>-72240654.815323576</v>
      </c>
      <c r="AU79" s="62">
        <v>0</v>
      </c>
      <c r="AV79" s="62">
        <v>0</v>
      </c>
      <c r="AW79" s="62">
        <f t="shared" si="34"/>
        <v>-72230738.998205647</v>
      </c>
      <c r="BG79"/>
      <c r="BL79" s="10"/>
    </row>
    <row r="80" spans="2:64">
      <c r="BG80"/>
      <c r="BL80" s="10"/>
    </row>
    <row r="81" spans="2:64">
      <c r="BG81"/>
      <c r="BL81" s="10"/>
    </row>
    <row r="82" spans="2:64">
      <c r="C82" s="14" t="s">
        <v>449</v>
      </c>
      <c r="BG82"/>
      <c r="BL82" s="10"/>
    </row>
    <row r="83" spans="2:64">
      <c r="BG83"/>
      <c r="BL83" s="10"/>
    </row>
    <row r="84" spans="2:64">
      <c r="D84" s="109" t="s">
        <v>454</v>
      </c>
      <c r="E84" s="109"/>
      <c r="F84" s="109"/>
      <c r="G84" s="109"/>
      <c r="H84" s="109"/>
      <c r="J84" s="109" t="s">
        <v>482</v>
      </c>
      <c r="K84" s="109"/>
      <c r="L84" s="109"/>
      <c r="M84" s="109"/>
      <c r="N84" s="109"/>
      <c r="U84" s="109" t="s">
        <v>468</v>
      </c>
      <c r="V84" s="109"/>
      <c r="W84" s="109"/>
      <c r="X84" s="109"/>
      <c r="Y84" s="109"/>
      <c r="AA84" s="109" t="s">
        <v>492</v>
      </c>
      <c r="AB84" s="109"/>
      <c r="AC84" s="109"/>
      <c r="AD84" s="109"/>
      <c r="AE84" s="109"/>
      <c r="AF84" s="109"/>
      <c r="AG84" s="109"/>
      <c r="AH84" s="109"/>
      <c r="AI84" s="109"/>
      <c r="AS84" s="110" t="s">
        <v>455</v>
      </c>
      <c r="AT84" s="110"/>
      <c r="AU84" s="110"/>
      <c r="AV84" s="110"/>
      <c r="AW84" s="110"/>
      <c r="BG84"/>
      <c r="BL84" s="10"/>
    </row>
    <row r="85" spans="2:64">
      <c r="C85" s="95" t="s">
        <v>407</v>
      </c>
      <c r="D85" s="95" t="str">
        <f>$E$10</f>
        <v>motor</v>
      </c>
      <c r="E85" s="95" t="str">
        <f>$F$10</f>
        <v>prop</v>
      </c>
      <c r="F85" s="85"/>
      <c r="G85" s="85"/>
      <c r="H85" s="85" t="s">
        <v>436</v>
      </c>
      <c r="J85" s="95" t="str">
        <f>$E$10</f>
        <v>motor</v>
      </c>
      <c r="K85" s="95" t="str">
        <f>$F$10</f>
        <v>prop</v>
      </c>
      <c r="L85" s="85"/>
      <c r="M85" s="85"/>
      <c r="N85" s="85" t="s">
        <v>436</v>
      </c>
      <c r="P85" s="95" t="s">
        <v>482</v>
      </c>
      <c r="Q85" s="95" t="s">
        <v>483</v>
      </c>
      <c r="R85" s="95" t="s">
        <v>484</v>
      </c>
      <c r="S85" s="95" t="s">
        <v>485</v>
      </c>
      <c r="U85" s="95" t="str">
        <f>$E$10</f>
        <v>motor</v>
      </c>
      <c r="V85" s="95" t="str">
        <f>$F$10</f>
        <v>prop</v>
      </c>
      <c r="W85" s="85"/>
      <c r="X85" s="85"/>
      <c r="Y85" s="85" t="s">
        <v>436</v>
      </c>
      <c r="AA85" s="85" t="s">
        <v>408</v>
      </c>
      <c r="AB85" s="85" t="s">
        <v>409</v>
      </c>
      <c r="AC85" s="85" t="s">
        <v>410</v>
      </c>
      <c r="AD85" s="85" t="s">
        <v>411</v>
      </c>
      <c r="AE85" s="85" t="s">
        <v>26</v>
      </c>
      <c r="AF85" s="85" t="s">
        <v>413</v>
      </c>
      <c r="AG85" s="85" t="s">
        <v>457</v>
      </c>
      <c r="AH85" s="85" t="s">
        <v>463</v>
      </c>
      <c r="AI85" s="85" t="s">
        <v>491</v>
      </c>
      <c r="AK85" s="85" t="s">
        <v>461</v>
      </c>
      <c r="AL85" s="85" t="s">
        <v>471</v>
      </c>
      <c r="AM85" s="85" t="s">
        <v>459</v>
      </c>
      <c r="AN85" s="85" t="s">
        <v>455</v>
      </c>
      <c r="AO85" s="85" t="s">
        <v>456</v>
      </c>
      <c r="AP85" s="85" t="s">
        <v>460</v>
      </c>
      <c r="AQ85" s="85" t="s">
        <v>458</v>
      </c>
      <c r="AS85" s="77" t="str">
        <f>$E$10</f>
        <v>motor</v>
      </c>
      <c r="AT85" s="77" t="str">
        <f>$F$10</f>
        <v>prop</v>
      </c>
      <c r="AU85" s="77"/>
      <c r="AV85" s="77"/>
      <c r="AW85" s="77" t="s">
        <v>436</v>
      </c>
      <c r="BG85"/>
      <c r="BL85" s="10"/>
    </row>
    <row r="86" spans="2:64">
      <c r="B86" s="93">
        <v>1</v>
      </c>
      <c r="C86" s="96" t="str">
        <f>C72</f>
        <v>prop</v>
      </c>
      <c r="D86" s="100">
        <f>E23</f>
        <v>1629117.3236301369</v>
      </c>
      <c r="E86" s="100">
        <f>F23</f>
        <v>3306652.2448630133</v>
      </c>
      <c r="F86" s="100">
        <f>G23</f>
        <v>0</v>
      </c>
      <c r="G86" s="100">
        <f>H23</f>
        <v>0</v>
      </c>
      <c r="H86" s="100">
        <f>SUM(D86:G86)</f>
        <v>4935769.5684931502</v>
      </c>
      <c r="J86" s="12" cm="1">
        <f t="array" ref="J86:M86">IF(INDEX($E$31:$H$38,$B86,0)&gt;0,$D86:$G86,0)</f>
        <v>0</v>
      </c>
      <c r="K86" s="12">
        <v>3306652.2448630133</v>
      </c>
      <c r="L86" s="12">
        <v>0</v>
      </c>
      <c r="M86" s="12">
        <v>0</v>
      </c>
      <c r="N86" s="12">
        <f>SUM(_xlfn.ANCHORARRAY(J86))</f>
        <v>3306652.2448630133</v>
      </c>
      <c r="P86" s="12" cm="1">
        <f t="array" ref="P86">INDEX($AE$31:$AE$38,$B86,1)</f>
        <v>500000000</v>
      </c>
      <c r="Q86" s="12" t="b">
        <f>AND(N86&gt;P86,P86&gt;0)</f>
        <v>0</v>
      </c>
      <c r="R86" s="90">
        <f>IF(Q86,P86/N86,1)</f>
        <v>1</v>
      </c>
      <c r="S86" s="12">
        <f>IF(P86&gt;0,MAX(N86-P86,0),0)</f>
        <v>0</v>
      </c>
      <c r="U86" s="12" cm="1">
        <f t="array" ref="U86:X86">IF($Q86,$P86/$N86*_xlfn.ANCHORARRAY(J86),_xlfn.ANCHORARRAY(J86))</f>
        <v>0</v>
      </c>
      <c r="V86" s="12">
        <v>3306652.2448630133</v>
      </c>
      <c r="W86" s="12">
        <v>0</v>
      </c>
      <c r="X86" s="12">
        <v>0</v>
      </c>
      <c r="Y86" s="12">
        <f>IF($Q86,$P86/$N86*N86,N86)</f>
        <v>3306652.2448630133</v>
      </c>
      <c r="AA86" s="12" t="str" cm="1">
        <f t="array" ref="AA86">INDEX(AB$31:AB$38,$B86,1)</f>
        <v>PROP</v>
      </c>
      <c r="AB86" s="12" cm="1">
        <f t="array" ref="AB86">INDEX(AC$31:AC$38,$B86,1)</f>
        <v>0</v>
      </c>
      <c r="AC86" s="12" cm="1">
        <f t="array" ref="AC86">INDEX(AD$31:AD$38,$B86,1)</f>
        <v>0</v>
      </c>
      <c r="AD86" s="12" cm="1">
        <f t="array" ref="AD86">IF(INDEX(AE$31:AE$38,$B86,1)=0,9.9E+300,INDEX(AE$31:AE$38,$B86,1))</f>
        <v>500000000</v>
      </c>
      <c r="AE86" s="90" cm="1">
        <f t="array" ref="AE86">INDEX(AF$31:AF$38,$B86,1)</f>
        <v>0.5</v>
      </c>
      <c r="AF86" s="90" cm="1">
        <f t="array" ref="AF86">INDEX(AH$31:AH$38,$B86,1)</f>
        <v>0</v>
      </c>
      <c r="AG86" s="90" cm="1">
        <f t="array" ref="AG86">INDEX(AK$31:AK$38,$B86,1)</f>
        <v>0.95</v>
      </c>
      <c r="AH86" s="12" cm="1">
        <f t="array" ref="AH86">INDEX(AL$31:AL$38,$B86,1)</f>
        <v>0</v>
      </c>
      <c r="AI86" s="12" cm="1">
        <f t="array" ref="AI86">INDEX(AM$31:AM$38,$B86,1)</f>
        <v>0</v>
      </c>
      <c r="AK86" s="97">
        <f>AK72+AM72</f>
        <v>39270153.20890408</v>
      </c>
      <c r="AL86" s="97">
        <f>AL72+AP72</f>
        <v>0</v>
      </c>
      <c r="AM86" s="12">
        <f>IF(AA86="PROP",Y86*AE86,MIN(MAX(Y86-AB86,0),AC86)*AE86)</f>
        <v>1653326.1224315066</v>
      </c>
      <c r="AN86" s="12">
        <f>MAX(Y86-AM86,0)</f>
        <v>1653326.1224315066</v>
      </c>
      <c r="AO86" s="12">
        <f>_xlfn.LET(_xlpm.base,MIN(AM86,AD86),
_xlpm.remain,MAX(AH86-AK86,0),
IF(AA86="PROP", _xlpm.base*AG86,MIN(_xlpm.base,_xlpm.remain)*AG86))</f>
        <v>1570659.8163099312</v>
      </c>
      <c r="AP86" s="12">
        <f>_xlfn.LET(_xlpm.base,AO86*AF86,
_xlpm.remain,MAX(AI86-AL86,0),
IF(AB86="PROP", 0,MIN(_xlpm.base,_xlpm.remain)))</f>
        <v>0</v>
      </c>
      <c r="AQ86" s="12">
        <f>AO86-AP86</f>
        <v>1570659.8163099312</v>
      </c>
      <c r="AR86" s="114"/>
      <c r="AS86" s="12" cm="1">
        <f t="array" ref="AS86:AV86">IF(_xlfn.ANCHORARRAY(U86)&gt;0,$D86:$G86*$R86-_xlfn.ANCHORARRAY(U86)*$AM86/$Y86,$D86:$G86)</f>
        <v>1629117.3236301369</v>
      </c>
      <c r="AT86" s="12">
        <v>1653326.1224315066</v>
      </c>
      <c r="AU86" s="12">
        <v>0</v>
      </c>
      <c r="AV86" s="12">
        <v>0</v>
      </c>
      <c r="AW86" s="100">
        <f>H86-S86-AM86</f>
        <v>3282443.4460616438</v>
      </c>
      <c r="BG86"/>
      <c r="BL86" s="10"/>
    </row>
    <row r="87" spans="2:64">
      <c r="B87" s="93">
        <v>2</v>
      </c>
      <c r="C87" s="96" t="str">
        <f t="shared" ref="C87:C93" si="35">C73</f>
        <v>xol_1</v>
      </c>
      <c r="D87" s="13" cm="1">
        <f t="array" ref="D87">_xlfn.IFS(E32=0,D86,E32=E31,D86,E32&gt;MAX(E$31:E31),AS86)</f>
        <v>1629117.3236301369</v>
      </c>
      <c r="E87" s="13" cm="1">
        <f t="array" ref="E87">_xlfn.IFS(F32=0,E86,F32=F31,E86,F32&gt;MAX(F$31:F31),AT86)</f>
        <v>3306652.2448630133</v>
      </c>
      <c r="F87" s="13" cm="1">
        <f t="array" ref="F87">_xlfn.IFS(G32=0,F86,G32=G31,F86,G32&gt;MAX(G$31:G31),AU86)</f>
        <v>0</v>
      </c>
      <c r="G87" s="13" cm="1">
        <f t="array" ref="G87">_xlfn.IFS(H32=0,G86,H32=H31,G86,H32&gt;MAX(H$31:H31),AV86)</f>
        <v>0</v>
      </c>
      <c r="H87" s="13">
        <f t="shared" ref="H87:H93" si="36">SUM(D87:G87)</f>
        <v>4935769.5684931502</v>
      </c>
      <c r="J87" s="13" cm="1">
        <f t="array" ref="J87:M87">IF(INDEX($E$31:$H$38,$B87,0)&gt;0,$D87:$G87,0)</f>
        <v>1629117.3236301369</v>
      </c>
      <c r="K87" s="13">
        <v>3306652.2448630133</v>
      </c>
      <c r="L87" s="13">
        <v>0</v>
      </c>
      <c r="M87" s="13">
        <v>0</v>
      </c>
      <c r="N87" s="13">
        <f t="shared" ref="N87:N93" si="37">SUM(_xlfn.ANCHORARRAY(J87))</f>
        <v>4935769.5684931502</v>
      </c>
      <c r="P87" s="13" cm="1">
        <f t="array" ref="P87">INDEX($AE$31:$AE$38,$B87,1)</f>
        <v>30000000</v>
      </c>
      <c r="Q87" s="13" t="b">
        <f t="shared" ref="Q87:Q93" si="38">AND(N87&gt;P87,P87&gt;0)</f>
        <v>0</v>
      </c>
      <c r="R87" s="91">
        <f>IF(Q87,P87/N87,1)</f>
        <v>1</v>
      </c>
      <c r="S87" s="13">
        <f t="shared" ref="S87:S93" si="39">IF(P87&gt;0,MAX(N87-P87,0),0)</f>
        <v>0</v>
      </c>
      <c r="U87" s="13" cm="1">
        <f t="array" ref="U87:X87">IF($Q87,$P87/$N87*_xlfn.ANCHORARRAY(J87),_xlfn.ANCHORARRAY(J87))</f>
        <v>1629117.3236301369</v>
      </c>
      <c r="V87" s="13">
        <v>3306652.2448630133</v>
      </c>
      <c r="W87" s="13">
        <v>0</v>
      </c>
      <c r="X87" s="13">
        <v>0</v>
      </c>
      <c r="Y87" s="13">
        <f>IF($Q87,$P87/$N87*N87,N87)</f>
        <v>4935769.5684931502</v>
      </c>
      <c r="AA87" s="13" t="str" cm="1">
        <f t="array" ref="AA87">INDEX(AB$31:AB$38,$B87,1)</f>
        <v>XOL</v>
      </c>
      <c r="AB87" s="13" cm="1">
        <f t="array" ref="AB87">INDEX(AC$31:AC$38,$B87,1)</f>
        <v>1000000</v>
      </c>
      <c r="AC87" s="13" cm="1">
        <f t="array" ref="AC87">INDEX(AD$31:AD$38,$B87,1)</f>
        <v>2000000</v>
      </c>
      <c r="AD87" s="13" cm="1">
        <f t="array" ref="AD87">IF(INDEX(AE$31:AE$38,$B87,1)=0,9.9E+300,INDEX(AE$31:AE$38,$B87,1))</f>
        <v>30000000</v>
      </c>
      <c r="AE87" s="91" cm="1">
        <f t="array" ref="AE87">INDEX(AF$31:AF$38,$B87,1)</f>
        <v>1</v>
      </c>
      <c r="AF87" s="91" cm="1">
        <f t="array" ref="AF87">INDEX(AH$31:AH$38,$B87,1)</f>
        <v>0.3</v>
      </c>
      <c r="AG87" s="91" cm="1">
        <f t="array" ref="AG87">INDEX(AK$31:AK$38,$B87,1)</f>
        <v>0.8</v>
      </c>
      <c r="AH87" s="13" cm="1">
        <f t="array" ref="AH87">INDEX(AL$31:AL$38,$B87,1)</f>
        <v>12000000</v>
      </c>
      <c r="AI87" s="13" cm="1">
        <f t="array" ref="AI87">INDEX(AM$31:AM$38,$B87,1)</f>
        <v>3000000</v>
      </c>
      <c r="AK87" s="98">
        <f t="shared" ref="AK87:AK93" si="40">AK73+AM73</f>
        <v>6000000</v>
      </c>
      <c r="AL87" s="98">
        <f t="shared" ref="AL87:AL93" si="41">AL73+AP73</f>
        <v>1440000</v>
      </c>
      <c r="AM87" s="13">
        <f t="shared" ref="AM87:AM93" si="42">IF(AA87="PROP",Y87*AE87,MIN(MAX(Y87-AB87,0),AC87)*AE87)</f>
        <v>2000000</v>
      </c>
      <c r="AN87" s="13">
        <f>MAX(Y87-AM87,0)</f>
        <v>2935769.5684931502</v>
      </c>
      <c r="AO87" s="13">
        <f t="shared" ref="AO87:AO93" si="43">_xlfn.LET(_xlpm.base,MIN(AM87,AD87),
_xlpm.remain,MAX(AH87-AK87,0),
IF(AA87="PROP", _xlpm.base*AG87,MIN(_xlpm.base,_xlpm.remain)*AG87))</f>
        <v>1600000</v>
      </c>
      <c r="AP87" s="13">
        <f t="shared" ref="AP87:AP93" si="44">_xlfn.LET(_xlpm.base,AO87*AF87,
_xlpm.remain,MAX(AI87-AL87,0),
IF(AB87="PROP", 0,MIN(_xlpm.base,_xlpm.remain)))</f>
        <v>480000</v>
      </c>
      <c r="AQ87" s="13">
        <f t="shared" ref="AQ87:AQ93" si="45">AO87-AP87</f>
        <v>1120000</v>
      </c>
      <c r="AR87" s="114"/>
      <c r="AS87" s="13" cm="1">
        <f t="array" ref="AS87:AV87">IF(_xlfn.ANCHORARRAY(U87)&gt;0,_xlfn.ANCHORARRAY(AS86)-_xlfn.ANCHORARRAY(U87)*$AM87/$Y87-(1-$R87)*_xlfn.ANCHORARRAY(J87),_xlfn.ANCHORARRAY(AS86))</f>
        <v>968990.34605428018</v>
      </c>
      <c r="AT87" s="13">
        <v>313453.10000736336</v>
      </c>
      <c r="AU87" s="13">
        <v>0</v>
      </c>
      <c r="AV87" s="13">
        <v>0</v>
      </c>
      <c r="AW87" s="13">
        <f>AW86-S87-AM87</f>
        <v>1282443.4460616438</v>
      </c>
      <c r="BG87"/>
      <c r="BL87" s="10"/>
    </row>
    <row r="88" spans="2:64">
      <c r="B88" s="93">
        <v>3</v>
      </c>
      <c r="C88" s="96" t="str">
        <f t="shared" si="35"/>
        <v>xol_2</v>
      </c>
      <c r="D88" s="13" cm="1">
        <f t="array" ref="D88">_xlfn.IFS(E33=0,D87,E33=E32,D87,E33&gt;MAX(E$31:E32),AS87)</f>
        <v>1629117.3236301369</v>
      </c>
      <c r="E88" s="13" cm="1">
        <f t="array" ref="E88">_xlfn.IFS(F33=0,E87,F33=F32,E87,F33&gt;MAX(F$31:F32),AT87)</f>
        <v>3306652.2448630133</v>
      </c>
      <c r="F88" s="13" cm="1">
        <f t="array" ref="F88">_xlfn.IFS(G33=0,F87,G33=G32,F87,G33&gt;MAX(G$31:G32),AU87)</f>
        <v>0</v>
      </c>
      <c r="G88" s="13" cm="1">
        <f t="array" ref="G88">_xlfn.IFS(H33=0,G87,H33=H32,G87,H33&gt;MAX(H$31:H32),AV87)</f>
        <v>0</v>
      </c>
      <c r="H88" s="13">
        <f t="shared" si="36"/>
        <v>4935769.5684931502</v>
      </c>
      <c r="J88" s="13" cm="1">
        <f t="array" ref="J88:M88">IF(INDEX($E$31:$H$38,$B88,0)&gt;0,$D88:$G88,0)</f>
        <v>1629117.3236301369</v>
      </c>
      <c r="K88" s="13">
        <v>3306652.2448630133</v>
      </c>
      <c r="L88" s="13">
        <v>0</v>
      </c>
      <c r="M88" s="13">
        <v>0</v>
      </c>
      <c r="N88" s="13">
        <f t="shared" si="37"/>
        <v>4935769.5684931502</v>
      </c>
      <c r="P88" s="13" cm="1">
        <f t="array" ref="P88">INDEX($AE$31:$AE$38,$B88,1)</f>
        <v>0</v>
      </c>
      <c r="Q88" s="13" t="b">
        <f t="shared" si="38"/>
        <v>0</v>
      </c>
      <c r="R88" s="91">
        <f>IF(Q88,P88/N88,1)</f>
        <v>1</v>
      </c>
      <c r="S88" s="13">
        <f t="shared" si="39"/>
        <v>0</v>
      </c>
      <c r="U88" s="13" cm="1">
        <f t="array" ref="U88:X88">IF($Q88,$P88/$N88*_xlfn.ANCHORARRAY(J88),_xlfn.ANCHORARRAY(J88))</f>
        <v>1629117.3236301369</v>
      </c>
      <c r="V88" s="13">
        <v>3306652.2448630133</v>
      </c>
      <c r="W88" s="13">
        <v>0</v>
      </c>
      <c r="X88" s="13">
        <v>0</v>
      </c>
      <c r="Y88" s="13">
        <f>IF($Q88,$P88/$N88*N88,N88)</f>
        <v>4935769.5684931502</v>
      </c>
      <c r="AA88" s="13" t="str" cm="1">
        <f t="array" ref="AA88">INDEX(AB$31:AB$38,$B88,1)</f>
        <v>XOL</v>
      </c>
      <c r="AB88" s="13" cm="1">
        <f t="array" ref="AB88">INDEX(AC$31:AC$38,$B88,1)</f>
        <v>3000000</v>
      </c>
      <c r="AC88" s="13" cm="1">
        <f t="array" ref="AC88">INDEX(AD$31:AD$38,$B88,1)</f>
        <v>2000000</v>
      </c>
      <c r="AD88" s="13" cm="1">
        <f t="array" ref="AD88">IF(INDEX(AE$31:AE$38,$B88,1)=0,9.9E+300,INDEX(AE$31:AE$38,$B88,1))</f>
        <v>9.9000000000000002E+300</v>
      </c>
      <c r="AE88" s="91" cm="1">
        <f t="array" ref="AE88">INDEX(AF$31:AF$38,$B88,1)</f>
        <v>1</v>
      </c>
      <c r="AF88" s="91" cm="1">
        <f t="array" ref="AF88">INDEX(AH$31:AH$38,$B88,1)</f>
        <v>0.2</v>
      </c>
      <c r="AG88" s="91" cm="1">
        <f t="array" ref="AG88">INDEX(AK$31:AK$38,$B88,1)</f>
        <v>1</v>
      </c>
      <c r="AH88" s="13" cm="1">
        <f t="array" ref="AH88">INDEX(AL$31:AL$38,$B88,1)</f>
        <v>8000000</v>
      </c>
      <c r="AI88" s="13" cm="1">
        <f t="array" ref="AI88">INDEX(AM$31:AM$38,$B88,1)</f>
        <v>1200000</v>
      </c>
      <c r="AK88" s="98">
        <f t="shared" si="40"/>
        <v>5935769.5684931502</v>
      </c>
      <c r="AL88" s="98">
        <f t="shared" si="41"/>
        <v>1187153.9136986299</v>
      </c>
      <c r="AM88" s="13">
        <f t="shared" si="42"/>
        <v>1935769.5684931502</v>
      </c>
      <c r="AN88" s="13">
        <f>MAX(Y88-AM88,0)</f>
        <v>3000000</v>
      </c>
      <c r="AO88" s="13">
        <f t="shared" si="43"/>
        <v>1935769.5684931502</v>
      </c>
      <c r="AP88" s="13">
        <f t="shared" si="44"/>
        <v>12846.086301370058</v>
      </c>
      <c r="AQ88" s="13">
        <f t="shared" si="45"/>
        <v>1922923.4821917801</v>
      </c>
      <c r="AR88" s="114"/>
      <c r="AS88" s="13" cm="1">
        <f t="array" ref="AS88:AV88">IF(_xlfn.ANCHORARRAY(U88)&gt;0,_xlfn.ANCHORARRAY(AS87)-_xlfn.ANCHORARRAY(U88)*$AM88/$Y88-(1-$R88)*_xlfn.ANCHORARRAY(J88),_xlfn.ANCHORARRAY(AS87))</f>
        <v>330063.48878792836</v>
      </c>
      <c r="AT88" s="13">
        <v>-983389.611219435</v>
      </c>
      <c r="AU88" s="13">
        <v>0</v>
      </c>
      <c r="AV88" s="13">
        <v>0</v>
      </c>
      <c r="AW88" s="13">
        <f t="shared" ref="AW88:AW93" si="46">AW87-S88-AM88</f>
        <v>-653326.1224315064</v>
      </c>
      <c r="BG88"/>
      <c r="BL88" s="10"/>
    </row>
    <row r="89" spans="2:64">
      <c r="B89" s="93">
        <v>4</v>
      </c>
      <c r="C89" s="96" t="str">
        <f t="shared" si="35"/>
        <v>xol_3</v>
      </c>
      <c r="D89" s="13" cm="1">
        <f t="array" ref="D89">_xlfn.IFS(E34=0,D88,E34=E33,D88,E34&gt;MAX(E$31:E33),AS88)</f>
        <v>1629117.3236301369</v>
      </c>
      <c r="E89" s="13" cm="1">
        <f t="array" ref="E89">_xlfn.IFS(F34=0,E88,F34=F33,E88,F34&gt;MAX(F$31:F33),AT88)</f>
        <v>3306652.2448630133</v>
      </c>
      <c r="F89" s="13" cm="1">
        <f t="array" ref="F89">_xlfn.IFS(G34=0,F88,G34=G33,F88,G34&gt;MAX(G$31:G33),AU88)</f>
        <v>0</v>
      </c>
      <c r="G89" s="13" cm="1">
        <f t="array" ref="G89">_xlfn.IFS(H34=0,G88,H34=H33,G88,H34&gt;MAX(H$31:H33),AV88)</f>
        <v>0</v>
      </c>
      <c r="H89" s="13">
        <f t="shared" si="36"/>
        <v>4935769.5684931502</v>
      </c>
      <c r="J89" s="13" cm="1">
        <f t="array" ref="J89:M89">IF(INDEX($E$31:$H$38,$B89,0)&gt;0,$D89:$G89,0)</f>
        <v>1629117.3236301369</v>
      </c>
      <c r="K89" s="13">
        <v>3306652.2448630133</v>
      </c>
      <c r="L89" s="13">
        <v>0</v>
      </c>
      <c r="M89" s="13">
        <v>0</v>
      </c>
      <c r="N89" s="13">
        <f t="shared" si="37"/>
        <v>4935769.5684931502</v>
      </c>
      <c r="P89" s="13" cm="1">
        <f t="array" ref="P89">INDEX($AE$31:$AE$38,$B89,1)</f>
        <v>0</v>
      </c>
      <c r="Q89" s="13" t="b">
        <f t="shared" si="38"/>
        <v>0</v>
      </c>
      <c r="R89" s="91">
        <f>IF(Q89,P89/N89,1)</f>
        <v>1</v>
      </c>
      <c r="S89" s="13">
        <f t="shared" si="39"/>
        <v>0</v>
      </c>
      <c r="U89" s="13" cm="1">
        <f t="array" ref="U89:X89">IF($Q89,$P89/$N89*_xlfn.ANCHORARRAY(J89),_xlfn.ANCHORARRAY(J89))</f>
        <v>1629117.3236301369</v>
      </c>
      <c r="V89" s="13">
        <v>3306652.2448630133</v>
      </c>
      <c r="W89" s="13">
        <v>0</v>
      </c>
      <c r="X89" s="13">
        <v>0</v>
      </c>
      <c r="Y89" s="13">
        <f>IF($Q89,$P89/$N89*N89,N89)</f>
        <v>4935769.5684931502</v>
      </c>
      <c r="AA89" s="13" t="str" cm="1">
        <f t="array" ref="AA89">INDEX(AB$31:AB$38,$B89,1)</f>
        <v>XOL</v>
      </c>
      <c r="AB89" s="13" cm="1">
        <f t="array" ref="AB89">INDEX(AC$31:AC$38,$B89,1)</f>
        <v>5000000</v>
      </c>
      <c r="AC89" s="13" cm="1">
        <f t="array" ref="AC89">INDEX(AD$31:AD$38,$B89,1)</f>
        <v>5000000</v>
      </c>
      <c r="AD89" s="13" cm="1">
        <f t="array" ref="AD89">IF(INDEX(AE$31:AE$38,$B89,1)=0,9.9E+300,INDEX(AE$31:AE$38,$B89,1))</f>
        <v>9.9000000000000002E+300</v>
      </c>
      <c r="AE89" s="91" cm="1">
        <f t="array" ref="AE89">INDEX(AF$31:AF$38,$B89,1)</f>
        <v>1</v>
      </c>
      <c r="AF89" s="91" cm="1">
        <f t="array" ref="AF89">INDEX(AH$31:AH$38,$B89,1)</f>
        <v>0.1</v>
      </c>
      <c r="AG89" s="91" cm="1">
        <f t="array" ref="AG89">INDEX(AK$31:AK$38,$B89,1)</f>
        <v>1</v>
      </c>
      <c r="AH89" s="13" cm="1">
        <f t="array" ref="AH89">INDEX(AL$31:AL$38,$B89,1)</f>
        <v>20000000</v>
      </c>
      <c r="AI89" s="13" cm="1">
        <f t="array" ref="AI89">INDEX(AM$31:AM$38,$B89,1)</f>
        <v>1500000</v>
      </c>
      <c r="AK89" s="98">
        <f t="shared" si="40"/>
        <v>10000000</v>
      </c>
      <c r="AL89" s="98">
        <f t="shared" si="41"/>
        <v>1000000</v>
      </c>
      <c r="AM89" s="13">
        <f t="shared" si="42"/>
        <v>0</v>
      </c>
      <c r="AN89" s="13">
        <f>MAX(Y89-AM89,0)</f>
        <v>4935769.5684931502</v>
      </c>
      <c r="AO89" s="13">
        <f t="shared" si="43"/>
        <v>0</v>
      </c>
      <c r="AP89" s="13">
        <f t="shared" si="44"/>
        <v>0</v>
      </c>
      <c r="AQ89" s="13">
        <f t="shared" si="45"/>
        <v>0</v>
      </c>
      <c r="AR89" s="114"/>
      <c r="AS89" s="13" cm="1">
        <f t="array" ref="AS89:AV89">IF(_xlfn.ANCHORARRAY(U89)&gt;0,_xlfn.ANCHORARRAY(AS88)-_xlfn.ANCHORARRAY(U89)*$AM89/$Y89-(1-$R89)*_xlfn.ANCHORARRAY(J89),_xlfn.ANCHORARRAY(AS88))</f>
        <v>330063.48878792836</v>
      </c>
      <c r="AT89" s="13">
        <v>-983389.611219435</v>
      </c>
      <c r="AU89" s="13">
        <v>0</v>
      </c>
      <c r="AV89" s="13">
        <v>0</v>
      </c>
      <c r="AW89" s="13">
        <f t="shared" si="46"/>
        <v>-653326.1224315064</v>
      </c>
      <c r="BG89"/>
      <c r="BL89" s="10"/>
    </row>
    <row r="90" spans="2:64">
      <c r="B90" s="93">
        <v>5</v>
      </c>
      <c r="C90" s="96" t="str">
        <f t="shared" si="35"/>
        <v>xol_4</v>
      </c>
      <c r="D90" s="13" cm="1">
        <f t="array" ref="D90">_xlfn.IFS(E35=0,D89,E35=E34,D89,E35&gt;MAX(E$31:E34),AS89)</f>
        <v>1629117.3236301369</v>
      </c>
      <c r="E90" s="13" cm="1">
        <f t="array" ref="E90">_xlfn.IFS(F35=0,E89,F35=F34,E89,F35&gt;MAX(F$31:F34),AT89)</f>
        <v>3306652.2448630133</v>
      </c>
      <c r="F90" s="13" cm="1">
        <f t="array" ref="F90">_xlfn.IFS(G35=0,F89,G35=G34,F89,G35&gt;MAX(G$31:G34),AU89)</f>
        <v>0</v>
      </c>
      <c r="G90" s="13" cm="1">
        <f t="array" ref="G90">_xlfn.IFS(H35=0,G89,H35=H34,G89,H35&gt;MAX(H$31:H34),AV89)</f>
        <v>0</v>
      </c>
      <c r="H90" s="13">
        <f t="shared" si="36"/>
        <v>4935769.5684931502</v>
      </c>
      <c r="J90" s="13" cm="1">
        <f t="array" ref="J90:M90">IF(INDEX($E$31:$H$38,$B90,0)&gt;0,$D90:$G90,0)</f>
        <v>1629117.3236301369</v>
      </c>
      <c r="K90" s="13">
        <v>3306652.2448630133</v>
      </c>
      <c r="L90" s="13">
        <v>0</v>
      </c>
      <c r="M90" s="13">
        <v>0</v>
      </c>
      <c r="N90" s="13">
        <f t="shared" si="37"/>
        <v>4935769.5684931502</v>
      </c>
      <c r="P90" s="13" cm="1">
        <f t="array" ref="P90">INDEX($AE$31:$AE$38,$B90,1)</f>
        <v>0</v>
      </c>
      <c r="Q90" s="13" t="b">
        <f t="shared" si="38"/>
        <v>0</v>
      </c>
      <c r="R90" s="91">
        <f>IF(Q90,P90/N90,1)</f>
        <v>1</v>
      </c>
      <c r="S90" s="13">
        <f t="shared" si="39"/>
        <v>0</v>
      </c>
      <c r="U90" s="13" cm="1">
        <f t="array" ref="U90:X90">IF($Q90,$P90/$N90*_xlfn.ANCHORARRAY(J90),_xlfn.ANCHORARRAY(J90))</f>
        <v>1629117.3236301369</v>
      </c>
      <c r="V90" s="13">
        <v>3306652.2448630133</v>
      </c>
      <c r="W90" s="13">
        <v>0</v>
      </c>
      <c r="X90" s="13">
        <v>0</v>
      </c>
      <c r="Y90" s="13">
        <f>IF($Q90,$P90/$N90*N90,N90)</f>
        <v>4935769.5684931502</v>
      </c>
      <c r="AA90" s="13" t="str" cm="1">
        <f t="array" ref="AA90">INDEX(AB$31:AB$38,$B90,1)</f>
        <v>XOL</v>
      </c>
      <c r="AB90" s="13" cm="1">
        <f t="array" ref="AB90">INDEX(AC$31:AC$38,$B90,1)</f>
        <v>10000000</v>
      </c>
      <c r="AC90" s="13" cm="1">
        <f t="array" ref="AC90">INDEX(AD$31:AD$38,$B90,1)</f>
        <v>10000000</v>
      </c>
      <c r="AD90" s="13" cm="1">
        <f t="array" ref="AD90">IF(INDEX(AE$31:AE$38,$B90,1)=0,9.9E+300,INDEX(AE$31:AE$38,$B90,1))</f>
        <v>9.9000000000000002E+300</v>
      </c>
      <c r="AE90" s="91" cm="1">
        <f t="array" ref="AE90">INDEX(AF$31:AF$38,$B90,1)</f>
        <v>1</v>
      </c>
      <c r="AF90" s="91" cm="1">
        <f t="array" ref="AF90">INDEX(AH$31:AH$38,$B90,1)</f>
        <v>0.05</v>
      </c>
      <c r="AG90" s="91" cm="1">
        <f t="array" ref="AG90">INDEX(AK$31:AK$38,$B90,1)</f>
        <v>1</v>
      </c>
      <c r="AH90" s="13" cm="1">
        <f t="array" ref="AH90">INDEX(AL$31:AL$38,$B90,1)</f>
        <v>20000000</v>
      </c>
      <c r="AI90" s="13" cm="1">
        <f t="array" ref="AI90">INDEX(AM$31:AM$38,$B90,1)</f>
        <v>500000</v>
      </c>
      <c r="AK90" s="98">
        <f t="shared" si="40"/>
        <v>20000000</v>
      </c>
      <c r="AL90" s="98">
        <f t="shared" si="41"/>
        <v>500000</v>
      </c>
      <c r="AM90" s="13">
        <f t="shared" si="42"/>
        <v>0</v>
      </c>
      <c r="AN90" s="13">
        <f>MAX(Y90-AM90,0)</f>
        <v>4935769.5684931502</v>
      </c>
      <c r="AO90" s="13">
        <f t="shared" si="43"/>
        <v>0</v>
      </c>
      <c r="AP90" s="13">
        <f t="shared" si="44"/>
        <v>0</v>
      </c>
      <c r="AQ90" s="13">
        <f t="shared" si="45"/>
        <v>0</v>
      </c>
      <c r="AR90" s="114"/>
      <c r="AS90" s="13" cm="1">
        <f t="array" ref="AS90:AV90">IF(_xlfn.ANCHORARRAY(U90)&gt;0,_xlfn.ANCHORARRAY(AS89)-_xlfn.ANCHORARRAY(U90)*$AM90/$Y90-(1-$R90)*_xlfn.ANCHORARRAY(J90),_xlfn.ANCHORARRAY(AS89))</f>
        <v>330063.48878792836</v>
      </c>
      <c r="AT90" s="13">
        <v>-983389.611219435</v>
      </c>
      <c r="AU90" s="13">
        <v>0</v>
      </c>
      <c r="AV90" s="13">
        <v>0</v>
      </c>
      <c r="AW90" s="13">
        <f t="shared" si="46"/>
        <v>-653326.1224315064</v>
      </c>
      <c r="BG90"/>
      <c r="BL90" s="10"/>
    </row>
    <row r="91" spans="2:64">
      <c r="B91" s="93">
        <v>6</v>
      </c>
      <c r="C91" s="96" t="str">
        <f t="shared" si="35"/>
        <v>xol_5</v>
      </c>
      <c r="D91" s="13" cm="1">
        <f t="array" ref="D91">_xlfn.IFS(E36=0,D90,E36=E35,D90,E36&gt;MAX(E$31:E35),AS90)</f>
        <v>1629117.3236301369</v>
      </c>
      <c r="E91" s="13" cm="1">
        <f t="array" ref="E91">_xlfn.IFS(F36=0,E90,F36=F35,E90,F36&gt;MAX(F$31:F35),AT90)</f>
        <v>3306652.2448630133</v>
      </c>
      <c r="F91" s="13" cm="1">
        <f t="array" ref="F91">_xlfn.IFS(G36=0,F90,G36=G35,F90,G36&gt;MAX(G$31:G35),AU90)</f>
        <v>0</v>
      </c>
      <c r="G91" s="13" cm="1">
        <f t="array" ref="G91">_xlfn.IFS(H36=0,G90,H36=H35,G90,H36&gt;MAX(H$31:H35),AV90)</f>
        <v>0</v>
      </c>
      <c r="H91" s="13">
        <f t="shared" si="36"/>
        <v>4935769.5684931502</v>
      </c>
      <c r="J91" s="13" cm="1">
        <f t="array" ref="J91:M91">IF(INDEX($E$31:$H$38,$B91,0)&gt;0,$D91:$G91,0)</f>
        <v>1629117.3236301369</v>
      </c>
      <c r="K91" s="13">
        <v>3306652.2448630133</v>
      </c>
      <c r="L91" s="13">
        <v>0</v>
      </c>
      <c r="M91" s="13">
        <v>0</v>
      </c>
      <c r="N91" s="13">
        <f t="shared" si="37"/>
        <v>4935769.5684931502</v>
      </c>
      <c r="P91" s="13" cm="1">
        <f t="array" ref="P91">INDEX($AE$31:$AE$38,$B91,1)</f>
        <v>0</v>
      </c>
      <c r="Q91" s="13" t="b">
        <f t="shared" si="38"/>
        <v>0</v>
      </c>
      <c r="R91" s="91">
        <f>IF(Q91,P91/N91,1)</f>
        <v>1</v>
      </c>
      <c r="S91" s="13">
        <f t="shared" si="39"/>
        <v>0</v>
      </c>
      <c r="U91" s="13" cm="1">
        <f t="array" ref="U91:X91">IF($Q91,$P91/$N91*_xlfn.ANCHORARRAY(J91),_xlfn.ANCHORARRAY(J91))</f>
        <v>1629117.3236301369</v>
      </c>
      <c r="V91" s="13">
        <v>3306652.2448630133</v>
      </c>
      <c r="W91" s="13">
        <v>0</v>
      </c>
      <c r="X91" s="13">
        <v>0</v>
      </c>
      <c r="Y91" s="13">
        <f>IF($Q91,$P91/$N91*N91,N91)</f>
        <v>4935769.5684931502</v>
      </c>
      <c r="AA91" s="13" t="str" cm="1">
        <f t="array" ref="AA91">INDEX(AB$31:AB$38,$B91,1)</f>
        <v>XOL</v>
      </c>
      <c r="AB91" s="13" cm="1">
        <f t="array" ref="AB91">INDEX(AC$31:AC$38,$B91,1)</f>
        <v>20000000</v>
      </c>
      <c r="AC91" s="13" cm="1">
        <f t="array" ref="AC91">INDEX(AD$31:AD$38,$B91,1)</f>
        <v>10000000</v>
      </c>
      <c r="AD91" s="13" cm="1">
        <f t="array" ref="AD91">IF(INDEX(AE$31:AE$38,$B91,1)=0,9.9E+300,INDEX(AE$31:AE$38,$B91,1))</f>
        <v>9.9000000000000002E+300</v>
      </c>
      <c r="AE91" s="91" cm="1">
        <f t="array" ref="AE91">INDEX(AF$31:AF$38,$B91,1)</f>
        <v>1</v>
      </c>
      <c r="AF91" s="91" cm="1">
        <f t="array" ref="AF91">INDEX(AH$31:AH$38,$B91,1)</f>
        <v>0.01</v>
      </c>
      <c r="AG91" s="91" cm="1">
        <f t="array" ref="AG91">INDEX(AK$31:AK$38,$B91,1)</f>
        <v>1</v>
      </c>
      <c r="AH91" s="13" cm="1">
        <f t="array" ref="AH91">INDEX(AL$31:AL$38,$B91,1)</f>
        <v>20000000</v>
      </c>
      <c r="AI91" s="13" cm="1">
        <f t="array" ref="AI91">INDEX(AM$31:AM$38,$B91,1)</f>
        <v>100000</v>
      </c>
      <c r="AK91" s="98">
        <f t="shared" si="40"/>
        <v>20000000</v>
      </c>
      <c r="AL91" s="98">
        <f t="shared" si="41"/>
        <v>100000</v>
      </c>
      <c r="AM91" s="13">
        <f t="shared" si="42"/>
        <v>0</v>
      </c>
      <c r="AN91" s="13">
        <f>MAX(Y91-AM91,0)</f>
        <v>4935769.5684931502</v>
      </c>
      <c r="AO91" s="13">
        <f t="shared" si="43"/>
        <v>0</v>
      </c>
      <c r="AP91" s="13">
        <f t="shared" si="44"/>
        <v>0</v>
      </c>
      <c r="AQ91" s="13">
        <f t="shared" si="45"/>
        <v>0</v>
      </c>
      <c r="AR91" s="114"/>
      <c r="AS91" s="13" cm="1">
        <f t="array" ref="AS91:AV91">IF(_xlfn.ANCHORARRAY(U91)&gt;0,_xlfn.ANCHORARRAY(AS90)-_xlfn.ANCHORARRAY(U91)*$AM91/$Y91-(1-$R91)*_xlfn.ANCHORARRAY(J91),_xlfn.ANCHORARRAY(AS90))</f>
        <v>330063.48878792836</v>
      </c>
      <c r="AT91" s="13">
        <v>-983389.611219435</v>
      </c>
      <c r="AU91" s="13">
        <v>0</v>
      </c>
      <c r="AV91" s="13">
        <v>0</v>
      </c>
      <c r="AW91" s="13">
        <f t="shared" si="46"/>
        <v>-653326.1224315064</v>
      </c>
      <c r="BG91"/>
      <c r="BL91" s="10"/>
    </row>
    <row r="92" spans="2:64">
      <c r="B92" s="93">
        <v>7</v>
      </c>
      <c r="C92" s="96" t="str">
        <f t="shared" si="35"/>
        <v>later_prop</v>
      </c>
      <c r="D92" s="13" cm="1">
        <f t="array" ref="D92">_xlfn.IFS(E37=0,D91,E37=E36,D91,E37&gt;MAX(E$31:E36),AS91)</f>
        <v>330063.48878792836</v>
      </c>
      <c r="E92" s="13" cm="1">
        <f t="array" ref="E92">_xlfn.IFS(F37=0,E91,F37=F36,E91,F37&gt;MAX(F$31:F36),AT91)</f>
        <v>3306652.2448630133</v>
      </c>
      <c r="F92" s="13" cm="1">
        <f t="array" ref="F92">_xlfn.IFS(G37=0,F91,G37=G36,F91,G37&gt;MAX(G$31:G36),AU91)</f>
        <v>0</v>
      </c>
      <c r="G92" s="13" cm="1">
        <f t="array" ref="G92">_xlfn.IFS(H37=0,G91,H37=H36,G91,H37&gt;MAX(H$31:H36),AV91)</f>
        <v>0</v>
      </c>
      <c r="H92" s="13">
        <f t="shared" si="36"/>
        <v>3636715.7336509414</v>
      </c>
      <c r="J92" s="13" cm="1">
        <f t="array" ref="J92:M92">IF(INDEX($E$31:$H$38,$B92,0)&gt;0,$D92:$G92,0)</f>
        <v>330063.48878792836</v>
      </c>
      <c r="K92" s="13">
        <v>3306652.2448630133</v>
      </c>
      <c r="L92" s="13">
        <v>0</v>
      </c>
      <c r="M92" s="13">
        <v>0</v>
      </c>
      <c r="N92" s="13">
        <f t="shared" si="37"/>
        <v>3636715.7336509414</v>
      </c>
      <c r="P92" s="13" cm="1">
        <f t="array" ref="P92">INDEX($AE$31:$AE$38,$B92,1)</f>
        <v>5000000</v>
      </c>
      <c r="Q92" s="13" t="b">
        <f t="shared" si="38"/>
        <v>0</v>
      </c>
      <c r="R92" s="91">
        <f>IF(Q92,P92/N92,1)</f>
        <v>1</v>
      </c>
      <c r="S92" s="13">
        <f t="shared" si="39"/>
        <v>0</v>
      </c>
      <c r="U92" s="13" cm="1">
        <f t="array" ref="U92:X92">IF($Q92,$P92/$N92*_xlfn.ANCHORARRAY(J92),_xlfn.ANCHORARRAY(J92))</f>
        <v>330063.48878792836</v>
      </c>
      <c r="V92" s="13">
        <v>3306652.2448630133</v>
      </c>
      <c r="W92" s="13">
        <v>0</v>
      </c>
      <c r="X92" s="13">
        <v>0</v>
      </c>
      <c r="Y92" s="13">
        <f>IF($Q92,$P92/$N92*N92,N92)</f>
        <v>3636715.7336509414</v>
      </c>
      <c r="AA92" s="13" t="str" cm="1">
        <f t="array" ref="AA92">INDEX(AB$31:AB$38,$B92,1)</f>
        <v>PROP</v>
      </c>
      <c r="AB92" s="13" cm="1">
        <f t="array" ref="AB92">INDEX(AC$31:AC$38,$B92,1)</f>
        <v>0</v>
      </c>
      <c r="AC92" s="13" cm="1">
        <f t="array" ref="AC92">INDEX(AD$31:AD$38,$B92,1)</f>
        <v>0</v>
      </c>
      <c r="AD92" s="13" cm="1">
        <f t="array" ref="AD92">IF(INDEX(AE$31:AE$38,$B92,1)=0,9.9E+300,INDEX(AE$31:AE$38,$B92,1))</f>
        <v>5000000</v>
      </c>
      <c r="AE92" s="91" cm="1">
        <f t="array" ref="AE92">INDEX(AF$31:AF$38,$B92,1)</f>
        <v>0.7</v>
      </c>
      <c r="AF92" s="91" cm="1">
        <f t="array" ref="AF92">INDEX(AH$31:AH$38,$B92,1)</f>
        <v>0</v>
      </c>
      <c r="AG92" s="91" cm="1">
        <f t="array" ref="AG92">INDEX(AK$31:AK$38,$B92,1)</f>
        <v>1</v>
      </c>
      <c r="AH92" s="13" cm="1">
        <f t="array" ref="AH92">INDEX(AL$31:AL$38,$B92,1)</f>
        <v>0</v>
      </c>
      <c r="AI92" s="13" cm="1">
        <f t="array" ref="AI92">INDEX(AM$31:AM$38,$B92,1)</f>
        <v>0</v>
      </c>
      <c r="AK92" s="98">
        <f t="shared" si="40"/>
        <v>9545701.013555659</v>
      </c>
      <c r="AL92" s="98">
        <f t="shared" si="41"/>
        <v>0</v>
      </c>
      <c r="AM92" s="13">
        <f t="shared" si="42"/>
        <v>2545701.013555659</v>
      </c>
      <c r="AN92" s="13">
        <f>MAX(Y92-AM92,0)</f>
        <v>1091014.7200952824</v>
      </c>
      <c r="AO92" s="13">
        <f t="shared" si="43"/>
        <v>2545701.013555659</v>
      </c>
      <c r="AP92" s="13">
        <f t="shared" si="44"/>
        <v>0</v>
      </c>
      <c r="AQ92" s="13">
        <f t="shared" si="45"/>
        <v>2545701.013555659</v>
      </c>
      <c r="AR92" s="114"/>
      <c r="AS92" s="13" cm="1">
        <f t="array" ref="AS92:AV92">IF(_xlfn.ANCHORARRAY(U92)&gt;0,_xlfn.ANCHORARRAY(AS91)-_xlfn.ANCHORARRAY(U92)*$AM92/$Y92-(1-$R92)*_xlfn.ANCHORARRAY(J92),_xlfn.ANCHORARRAY(AS91))</f>
        <v>99019.046636378509</v>
      </c>
      <c r="AT92" s="13">
        <v>-3298046.1826235442</v>
      </c>
      <c r="AU92" s="13">
        <v>0</v>
      </c>
      <c r="AV92" s="13">
        <v>0</v>
      </c>
      <c r="AW92" s="13">
        <f t="shared" si="46"/>
        <v>-3199027.1359871654</v>
      </c>
      <c r="BG92"/>
      <c r="BL92" s="10"/>
    </row>
    <row r="93" spans="2:64">
      <c r="B93" s="93">
        <v>8</v>
      </c>
      <c r="C93" s="96" t="str">
        <f t="shared" si="35"/>
        <v>xol_6</v>
      </c>
      <c r="D93" s="62" cm="1">
        <f t="array" ref="D93">_xlfn.IFS(E38=0,D92,E38=E37,D92,E38&gt;MAX(E$31:E37),AS92)</f>
        <v>330063.48878792836</v>
      </c>
      <c r="E93" s="62" cm="1">
        <f t="array" ref="E93">_xlfn.IFS(F38=0,E92,F38=F37,E92,F38&gt;MAX(F$31:F37),AT92)</f>
        <v>3306652.2448630133</v>
      </c>
      <c r="F93" s="62" cm="1">
        <f t="array" ref="F93">_xlfn.IFS(G38=0,F92,G38=G37,F92,G38&gt;MAX(G$31:G37),AU92)</f>
        <v>0</v>
      </c>
      <c r="G93" s="62" cm="1">
        <f t="array" ref="G93">_xlfn.IFS(H38=0,G92,H38=H37,G92,H38&gt;MAX(H$31:H37),AV92)</f>
        <v>0</v>
      </c>
      <c r="H93" s="62">
        <f t="shared" si="36"/>
        <v>3636715.7336509414</v>
      </c>
      <c r="J93" s="62" cm="1">
        <f t="array" ref="J93:M93">IF(INDEX($E$31:$H$38,$B93,0)&gt;0,$D93:$G93,0)</f>
        <v>0</v>
      </c>
      <c r="K93" s="62">
        <v>3306652.2448630133</v>
      </c>
      <c r="L93" s="62">
        <v>0</v>
      </c>
      <c r="M93" s="62">
        <v>0</v>
      </c>
      <c r="N93" s="62">
        <f t="shared" si="37"/>
        <v>3306652.2448630133</v>
      </c>
      <c r="P93" s="62" cm="1">
        <f t="array" ref="P93">INDEX($AE$31:$AE$38,$B93,1)</f>
        <v>0</v>
      </c>
      <c r="Q93" s="62" t="b">
        <f t="shared" si="38"/>
        <v>0</v>
      </c>
      <c r="R93" s="92">
        <f>IF(Q93,P93/N93,1)</f>
        <v>1</v>
      </c>
      <c r="S93" s="62">
        <f t="shared" si="39"/>
        <v>0</v>
      </c>
      <c r="U93" s="62" cm="1">
        <f t="array" ref="U93:X93">IF($Q93,$P93/$N93*_xlfn.ANCHORARRAY(J93),_xlfn.ANCHORARRAY(J93))</f>
        <v>0</v>
      </c>
      <c r="V93" s="62">
        <v>3306652.2448630133</v>
      </c>
      <c r="W93" s="62">
        <v>0</v>
      </c>
      <c r="X93" s="62">
        <v>0</v>
      </c>
      <c r="Y93" s="62">
        <f>IF($Q93,$P93/$N93*N93,N93)</f>
        <v>3306652.2448630133</v>
      </c>
      <c r="AA93" s="62" t="str" cm="1">
        <f t="array" ref="AA93">INDEX(AB$31:AB$38,$B93,1)</f>
        <v>XOL</v>
      </c>
      <c r="AB93" s="62" cm="1">
        <f t="array" ref="AB93">INDEX(AC$31:AC$38,$B93,1)</f>
        <v>99000</v>
      </c>
      <c r="AC93" s="62" cm="1">
        <f t="array" ref="AC93">INDEX(AD$31:AD$38,$B93,1)</f>
        <v>1000</v>
      </c>
      <c r="AD93" s="62" cm="1">
        <f t="array" ref="AD93">IF(INDEX(AE$31:AE$38,$B93,1)=0,9.9E+300,INDEX(AE$31:AE$38,$B93,1))</f>
        <v>9.9000000000000002E+300</v>
      </c>
      <c r="AE93" s="92" cm="1">
        <f t="array" ref="AE93">INDEX(AF$31:AF$38,$B93,1)</f>
        <v>1</v>
      </c>
      <c r="AF93" s="92" cm="1">
        <f t="array" ref="AF93">INDEX(AH$31:AH$38,$B93,1)</f>
        <v>0</v>
      </c>
      <c r="AG93" s="92" cm="1">
        <f t="array" ref="AG93">INDEX(AK$31:AK$38,$B93,1)</f>
        <v>1</v>
      </c>
      <c r="AH93" s="62" cm="1">
        <f t="array" ref="AH93">INDEX(AL$31:AL$38,$B93,1)</f>
        <v>1000</v>
      </c>
      <c r="AI93" s="62" cm="1">
        <f t="array" ref="AI93">INDEX(AM$31:AM$38,$B93,1)</f>
        <v>0</v>
      </c>
      <c r="AK93" s="99">
        <f t="shared" si="40"/>
        <v>3000</v>
      </c>
      <c r="AL93" s="99">
        <f t="shared" si="41"/>
        <v>0</v>
      </c>
      <c r="AM93" s="62">
        <f t="shared" si="42"/>
        <v>1000</v>
      </c>
      <c r="AN93" s="62">
        <f>MAX(Y93-AM93,0)</f>
        <v>3305652.2448630133</v>
      </c>
      <c r="AO93" s="62">
        <f t="shared" si="43"/>
        <v>0</v>
      </c>
      <c r="AP93" s="62">
        <f t="shared" si="44"/>
        <v>0</v>
      </c>
      <c r="AQ93" s="62">
        <f t="shared" si="45"/>
        <v>0</v>
      </c>
      <c r="AR93" s="114"/>
      <c r="AS93" s="62" cm="1">
        <f t="array" ref="AS93:AV93">IF(_xlfn.ANCHORARRAY(U93)&gt;0,_xlfn.ANCHORARRAY(AS92)-_xlfn.ANCHORARRAY(U93)*$AM93/$Y93-(1-$R93)*_xlfn.ANCHORARRAY(J93),_xlfn.ANCHORARRAY(AS92))</f>
        <v>99019.046636378509</v>
      </c>
      <c r="AT93" s="62">
        <v>-3299046.1826235442</v>
      </c>
      <c r="AU93" s="62">
        <v>0</v>
      </c>
      <c r="AV93" s="62">
        <v>0</v>
      </c>
      <c r="AW93" s="62">
        <f t="shared" si="46"/>
        <v>-3200027.1359871654</v>
      </c>
      <c r="BG93"/>
      <c r="BL93" s="10"/>
    </row>
    <row r="94" spans="2:64">
      <c r="BG94"/>
      <c r="BL94" s="10"/>
    </row>
    <row r="95" spans="2:64">
      <c r="BG95"/>
      <c r="BL95" s="10"/>
    </row>
    <row r="96" spans="2:64">
      <c r="C96" s="14" t="s">
        <v>467</v>
      </c>
      <c r="BG96"/>
      <c r="BL96" s="10"/>
    </row>
    <row r="99" spans="3:8">
      <c r="C99" s="95" t="s">
        <v>407</v>
      </c>
      <c r="D99" s="77" t="s">
        <v>459</v>
      </c>
      <c r="E99" s="85" t="s">
        <v>456</v>
      </c>
      <c r="F99" s="85" t="s">
        <v>460</v>
      </c>
      <c r="G99" s="85" t="s">
        <v>458</v>
      </c>
    </row>
    <row r="100" spans="3:8">
      <c r="C100" s="3" t="str">
        <f>C86</f>
        <v>prop</v>
      </c>
      <c r="D100" s="12">
        <f t="shared" ref="D100:D107" si="47">SUM(AM44,AM58,AM72,AM86)</f>
        <v>40923479.331335589</v>
      </c>
      <c r="E100" s="12">
        <f t="shared" ref="E100:G107" si="48">SUM(AO44,AO58,AO72,AO86)</f>
        <v>38877305.364768803</v>
      </c>
      <c r="F100" s="12">
        <f t="shared" si="48"/>
        <v>0</v>
      </c>
      <c r="G100" s="12">
        <f t="shared" si="48"/>
        <v>38877305.364768803</v>
      </c>
    </row>
    <row r="101" spans="3:8">
      <c r="C101" s="4" t="str">
        <f t="shared" ref="C101:C107" si="49">C87</f>
        <v>xol_1</v>
      </c>
      <c r="D101" s="13">
        <f t="shared" si="47"/>
        <v>8000000</v>
      </c>
      <c r="E101" s="13">
        <f t="shared" si="48"/>
        <v>6400000</v>
      </c>
      <c r="F101" s="13">
        <f t="shared" si="48"/>
        <v>1920000</v>
      </c>
      <c r="G101" s="13">
        <f t="shared" si="48"/>
        <v>4480000</v>
      </c>
    </row>
    <row r="102" spans="3:8">
      <c r="C102" s="4" t="str">
        <f t="shared" si="49"/>
        <v>xol_2</v>
      </c>
      <c r="D102" s="13">
        <f t="shared" si="47"/>
        <v>7871539.1369863003</v>
      </c>
      <c r="E102" s="13">
        <f t="shared" si="48"/>
        <v>7871539.1369863003</v>
      </c>
      <c r="F102" s="13">
        <f t="shared" si="48"/>
        <v>1200000</v>
      </c>
      <c r="G102" s="13">
        <f t="shared" si="48"/>
        <v>6671539.1369863003</v>
      </c>
      <c r="H102" s="11"/>
    </row>
    <row r="103" spans="3:8">
      <c r="C103" s="4" t="str">
        <f t="shared" si="49"/>
        <v>xol_3</v>
      </c>
      <c r="D103" s="13">
        <f t="shared" si="47"/>
        <v>10000000</v>
      </c>
      <c r="E103" s="13">
        <f t="shared" si="48"/>
        <v>10000000</v>
      </c>
      <c r="F103" s="13">
        <f t="shared" si="48"/>
        <v>1000000</v>
      </c>
      <c r="G103" s="13">
        <f t="shared" si="48"/>
        <v>9000000</v>
      </c>
    </row>
    <row r="104" spans="3:8">
      <c r="C104" s="4" t="str">
        <f t="shared" si="49"/>
        <v>xol_4</v>
      </c>
      <c r="D104" s="13">
        <f t="shared" si="47"/>
        <v>20000000</v>
      </c>
      <c r="E104" s="13">
        <f t="shared" si="48"/>
        <v>20000000</v>
      </c>
      <c r="F104" s="13">
        <f t="shared" si="48"/>
        <v>500000</v>
      </c>
      <c r="G104" s="13">
        <f t="shared" si="48"/>
        <v>19500000</v>
      </c>
    </row>
    <row r="105" spans="3:8">
      <c r="C105" s="4" t="str">
        <f t="shared" si="49"/>
        <v>xol_5</v>
      </c>
      <c r="D105" s="13">
        <f t="shared" si="47"/>
        <v>20000000</v>
      </c>
      <c r="E105" s="13">
        <f t="shared" si="48"/>
        <v>20000000</v>
      </c>
      <c r="F105" s="13">
        <f t="shared" si="48"/>
        <v>100000</v>
      </c>
      <c r="G105" s="13">
        <f t="shared" si="48"/>
        <v>19900000</v>
      </c>
    </row>
    <row r="106" spans="3:8">
      <c r="C106" s="4" t="str">
        <f t="shared" si="49"/>
        <v>later_prop</v>
      </c>
      <c r="D106" s="13">
        <f t="shared" si="47"/>
        <v>12091402.027111318</v>
      </c>
      <c r="E106" s="13">
        <f t="shared" si="48"/>
        <v>12091402.027111318</v>
      </c>
      <c r="F106" s="13">
        <f t="shared" si="48"/>
        <v>0</v>
      </c>
      <c r="G106" s="13">
        <f t="shared" si="48"/>
        <v>12091402.027111318</v>
      </c>
    </row>
    <row r="107" spans="3:8">
      <c r="C107" s="7" t="str">
        <f t="shared" si="49"/>
        <v>xol_6</v>
      </c>
      <c r="D107" s="62">
        <f t="shared" si="47"/>
        <v>4000</v>
      </c>
      <c r="E107" s="62">
        <f t="shared" si="48"/>
        <v>1000</v>
      </c>
      <c r="F107" s="62">
        <f t="shared" si="48"/>
        <v>0</v>
      </c>
      <c r="G107" s="62">
        <f t="shared" si="48"/>
        <v>1000</v>
      </c>
    </row>
    <row r="110" spans="3:8">
      <c r="C110" s="14" t="s">
        <v>469</v>
      </c>
    </row>
    <row r="113" spans="3:21">
      <c r="C113" s="95" t="s">
        <v>474</v>
      </c>
      <c r="D113" s="85" t="s">
        <v>459</v>
      </c>
      <c r="E113" s="85" t="s">
        <v>456</v>
      </c>
      <c r="F113" s="85" t="s">
        <v>460</v>
      </c>
      <c r="G113" s="85" t="s">
        <v>458</v>
      </c>
    </row>
    <row r="114" spans="3:21">
      <c r="C114" s="3">
        <v>1</v>
      </c>
      <c r="D114" s="12">
        <f>SUM(AM44:AM51)</f>
        <v>45317935.25</v>
      </c>
      <c r="E114" s="12">
        <f>SUM(AO44:AO51)</f>
        <v>44277088.487499997</v>
      </c>
      <c r="F114" s="12">
        <f>SUM(AP44:AP51)</f>
        <v>1980000</v>
      </c>
      <c r="G114" s="12">
        <f>SUM(AQ44:AQ51)</f>
        <v>42297088.487499997</v>
      </c>
    </row>
    <row r="115" spans="3:21">
      <c r="C115" s="4">
        <v>2</v>
      </c>
      <c r="D115" s="13">
        <f>SUM(AM58:AM65)</f>
        <v>8135796.7044803156</v>
      </c>
      <c r="E115" s="13">
        <f>SUM(AO58:AO65)</f>
        <v>7652130.3983587399</v>
      </c>
      <c r="F115" s="13">
        <f>SUM(AP58:AP65)</f>
        <v>867153.91369863006</v>
      </c>
      <c r="G115" s="13">
        <f>SUM(AQ58:AQ65)</f>
        <v>6784976.4846601104</v>
      </c>
      <c r="U115" s="11"/>
    </row>
    <row r="116" spans="3:21">
      <c r="C116" s="4">
        <v>3</v>
      </c>
      <c r="D116" s="13">
        <f>SUM(AM72:AM79)</f>
        <v>57300891.836472571</v>
      </c>
      <c r="E116" s="13">
        <f>SUM(AO72:AO79)</f>
        <v>55659897.244648948</v>
      </c>
      <c r="F116" s="13">
        <f>SUM(AP72:AP79)</f>
        <v>1380000</v>
      </c>
      <c r="G116" s="13">
        <f>SUM(AQ72:AQ79)</f>
        <v>54279897.244648948</v>
      </c>
    </row>
    <row r="117" spans="3:21">
      <c r="C117" s="7">
        <v>4</v>
      </c>
      <c r="D117" s="62">
        <f>SUM(AM86:AM93)</f>
        <v>8135796.7044803156</v>
      </c>
      <c r="E117" s="62">
        <f>SUM(AO86:AO93)</f>
        <v>7652130.3983587399</v>
      </c>
      <c r="F117" s="62">
        <f>SUM(AP86:AP93)</f>
        <v>492846.08630137006</v>
      </c>
      <c r="G117" s="62">
        <f>SUM(AQ86:AQ93)</f>
        <v>7159284.3120573703</v>
      </c>
    </row>
    <row r="118" spans="3:21">
      <c r="D118" s="105"/>
      <c r="F118" s="105"/>
      <c r="G118" s="105"/>
      <c r="H118" s="105"/>
    </row>
    <row r="119" spans="3:21">
      <c r="D119" s="105"/>
      <c r="F119" s="105"/>
      <c r="G119" s="105"/>
      <c r="H119" s="105"/>
    </row>
    <row r="120" spans="3:21">
      <c r="C120" s="14" t="s">
        <v>472</v>
      </c>
      <c r="H120" s="105"/>
    </row>
    <row r="121" spans="3:21">
      <c r="H121" s="105"/>
    </row>
    <row r="122" spans="3:21">
      <c r="H122" s="105"/>
    </row>
    <row r="123" spans="3:21">
      <c r="C123" s="95" t="s">
        <v>475</v>
      </c>
      <c r="D123" s="85" t="s">
        <v>459</v>
      </c>
      <c r="E123" s="85" t="s">
        <v>456</v>
      </c>
      <c r="F123" s="85" t="s">
        <v>460</v>
      </c>
      <c r="G123" s="85" t="s">
        <v>458</v>
      </c>
      <c r="H123" s="105"/>
    </row>
    <row r="124" spans="3:21">
      <c r="C124" s="3" t="str" cm="1">
        <f t="array" ref="C124:C132">_xlfn.LET(_xlpm.cp,_xlfn.UNIQUE(reinsurance_setup!$L$8:$L$27),_xlfn._xlws.FILTER(_xlpm.cp,_xlpm.cp&lt;&gt;0))</f>
        <v>A</v>
      </c>
      <c r="E124" s="12" cm="1">
        <f t="array" ref="E124:E132">_xlfn.MAP(_xlfn.ANCHORARRAY($C124),
_xlfn.LAMBDA(_xlpm.ri,
SUM(_xlfn.MAP($C$100:$C$107,_xlfn.LAMBDA(_xlpm.cont,SUMIFS($E$100:$E$107,$C$100:$C$107,_xlpm.cont)*SUMIFS(reinsurance_setup!$M$8:$M$27,reinsurance_setup!$K$8:$K$27,_xlpm.cont,reinsurance_setup!$L$8:$L$27,_xlpm.ri)/SUMIFS(reinsurance_setup!$M$8:$M$27,reinsurance_setup!$K$8:$K$27,_xlpm.cont))))))</f>
        <v>62330502.466309346</v>
      </c>
      <c r="F124" s="12" cm="1">
        <f t="array" ref="F124:F132">_xlfn.MAP(_xlfn.ANCHORARRAY($C124),
_xlfn.LAMBDA(_xlpm.ri,
SUM(_xlfn.MAP($C$100:$C$107,_xlfn.LAMBDA(_xlpm.cont,SUMIFS($F$100:$F$107,$C$100:$C$107,_xlpm.cont)*SUMIFS(reinsurance_setup!$M$8:$M$27,reinsurance_setup!$K$8:$K$27,_xlpm.cont,reinsurance_setup!$L$8:$L$27,_xlpm.ri)/SUMIFS(reinsurance_setup!$M$8:$M$27,reinsurance_setup!$K$8:$K$27,_xlpm.cont))))))</f>
        <v>445000</v>
      </c>
      <c r="G124" s="12" cm="1">
        <f t="array" ref="G124:G132">_xlfn.MAP(_xlfn.ANCHORARRAY($C124),
_xlfn.LAMBDA(_xlpm.ri,
SUM(_xlfn.MAP($C$100:$C$107,_xlfn.LAMBDA(_xlpm.cont,SUMIFS($G$100:$G$107,$C$100:$C$107,_xlpm.cont)*SUMIFS(reinsurance_setup!$M$8:$M$27,reinsurance_setup!$K$8:$K$27,_xlpm.cont,reinsurance_setup!$L$8:$L$27,_xlpm.ri)/SUMIFS(reinsurance_setup!$M$8:$M$27,reinsurance_setup!$K$8:$K$27,_xlpm.cont))))))</f>
        <v>61885502.466309346</v>
      </c>
      <c r="H124" s="105"/>
    </row>
    <row r="125" spans="3:21">
      <c r="C125" s="4" t="str">
        <v>B</v>
      </c>
      <c r="E125" s="13">
        <v>9400333.333333334</v>
      </c>
      <c r="F125" s="13">
        <v>945000</v>
      </c>
      <c r="G125" s="13">
        <v>8455333.333333334</v>
      </c>
      <c r="H125" s="105"/>
    </row>
    <row r="126" spans="3:21">
      <c r="C126" s="4" t="str">
        <v>C</v>
      </c>
      <c r="E126" s="13">
        <v>9548948.9881278537</v>
      </c>
      <c r="F126" s="13">
        <v>1300000</v>
      </c>
      <c r="G126" s="13">
        <v>8248948.9881278528</v>
      </c>
      <c r="H126" s="105"/>
    </row>
    <row r="127" spans="3:21">
      <c r="C127" s="4" t="str">
        <v>G</v>
      </c>
      <c r="E127" s="13">
        <v>1600000</v>
      </c>
      <c r="F127" s="13">
        <v>480000</v>
      </c>
      <c r="G127" s="13">
        <v>1120000</v>
      </c>
      <c r="H127" s="105"/>
    </row>
    <row r="128" spans="3:21">
      <c r="C128" s="4" t="str">
        <v>H</v>
      </c>
      <c r="E128" s="13">
        <v>2361461.7410958898</v>
      </c>
      <c r="F128" s="13">
        <v>360000</v>
      </c>
      <c r="G128" s="13">
        <v>2001461.7410958901</v>
      </c>
      <c r="H128" s="105"/>
    </row>
    <row r="129" spans="3:8">
      <c r="C129" s="4" t="str">
        <v>D</v>
      </c>
      <c r="E129" s="13">
        <v>5000000</v>
      </c>
      <c r="F129" s="13">
        <v>500000</v>
      </c>
      <c r="G129" s="13">
        <v>4500000</v>
      </c>
      <c r="H129" s="105"/>
    </row>
    <row r="130" spans="3:8">
      <c r="C130" s="4" t="str">
        <v>I</v>
      </c>
      <c r="E130" s="13">
        <v>3000000</v>
      </c>
      <c r="F130" s="13">
        <v>300000</v>
      </c>
      <c r="G130" s="13">
        <v>2700000</v>
      </c>
      <c r="H130" s="105"/>
    </row>
    <row r="131" spans="3:8">
      <c r="C131" s="4" t="str">
        <v>E</v>
      </c>
      <c r="E131" s="13">
        <v>14000000</v>
      </c>
      <c r="F131" s="13">
        <v>350000</v>
      </c>
      <c r="G131" s="13">
        <v>13650000</v>
      </c>
      <c r="H131" s="105"/>
    </row>
    <row r="132" spans="3:8">
      <c r="C132" s="4" t="str">
        <v>F</v>
      </c>
      <c r="E132" s="13">
        <v>8000000</v>
      </c>
      <c r="F132" s="13">
        <v>40000</v>
      </c>
      <c r="G132" s="13">
        <v>7960000</v>
      </c>
      <c r="H132" s="105"/>
    </row>
    <row r="133" spans="3:8">
      <c r="C133" s="4"/>
      <c r="D133" s="13"/>
      <c r="E133" s="4"/>
      <c r="F133" s="13"/>
      <c r="G133" s="13"/>
      <c r="H133" s="105"/>
    </row>
    <row r="134" spans="3:8">
      <c r="C134" s="4"/>
      <c r="D134" s="13"/>
      <c r="E134" s="4"/>
      <c r="F134" s="13"/>
      <c r="G134" s="13"/>
      <c r="H134" s="105"/>
    </row>
    <row r="135" spans="3:8">
      <c r="C135" s="4"/>
      <c r="D135" s="13"/>
      <c r="E135" s="4"/>
      <c r="F135" s="13"/>
      <c r="G135" s="13"/>
      <c r="H135" s="105"/>
    </row>
    <row r="136" spans="3:8">
      <c r="C136" s="4"/>
      <c r="D136" s="13"/>
      <c r="E136" s="4"/>
      <c r="F136" s="13"/>
      <c r="G136" s="13"/>
      <c r="H136" s="105"/>
    </row>
    <row r="137" spans="3:8">
      <c r="C137" s="4"/>
      <c r="D137" s="13"/>
      <c r="E137" s="4"/>
      <c r="F137" s="13"/>
      <c r="G137" s="13"/>
      <c r="H137" s="105"/>
    </row>
    <row r="138" spans="3:8">
      <c r="C138" s="4"/>
      <c r="D138" s="13"/>
      <c r="E138" s="4"/>
      <c r="F138" s="13"/>
      <c r="G138" s="13"/>
      <c r="H138" s="105"/>
    </row>
    <row r="139" spans="3:8">
      <c r="C139" s="7"/>
      <c r="D139" s="62"/>
      <c r="E139" s="7"/>
      <c r="F139" s="62"/>
      <c r="G139" s="62"/>
      <c r="H139" s="105"/>
    </row>
    <row r="140" spans="3:8">
      <c r="D140" s="105"/>
      <c r="F140" s="105"/>
      <c r="G140" s="105"/>
      <c r="H140" s="105"/>
    </row>
    <row r="141" spans="3:8">
      <c r="D141" s="105"/>
      <c r="F141" s="105"/>
      <c r="G141" s="105"/>
      <c r="H141" s="105"/>
    </row>
    <row r="142" spans="3:8">
      <c r="C142" s="14" t="s">
        <v>470</v>
      </c>
    </row>
    <row r="145" spans="3:8">
      <c r="C145" s="95" t="s">
        <v>407</v>
      </c>
      <c r="D145" s="95" t="s">
        <v>466</v>
      </c>
      <c r="E145" s="85" t="s">
        <v>459</v>
      </c>
      <c r="F145" s="85" t="s">
        <v>456</v>
      </c>
      <c r="G145" s="85" t="s">
        <v>460</v>
      </c>
      <c r="H145" s="85" t="s">
        <v>458</v>
      </c>
    </row>
    <row r="146" spans="3:8">
      <c r="C146" s="3" t="str" cm="1">
        <f t="array" ref="C146:D152">_xlfn.LET(
    _xlpm.values, $E$31:$H$38,
    _xlpm.contracts, $D$31:$D$38,
    _xlpm.headers, $E$30:$H$30,
    _xlpm.rows, ROWS(_xlpm.values),
    _xlpm.cols, COLUMNS(_xlpm.values),
    _xlpm.result, _xlfn.MAKEARRAY(_xlpm.rows * _xlpm.cols, 2, _xlfn.LAMBDA(_xlpm.r,_xlpm.c,
        _xlfn.LET(
            _xlpm.row_idx, MOD(_xlpm.r - 1, _xlpm.rows) + 1,
            _xlpm.col_idx, QUOTIENT(_xlpm.r - 1, _xlpm.rows) + 1,
            IF(_xlpm.c = 1,
                INDEX(_xlpm.contracts, _xlpm.row_idx),
                INDEX(_xlpm.headers, 1, _xlpm.col_idx)
            )
        )
    )),
    _xlpm.filtered, _xlfn._xlws.FILTER(_xlpm.result,
        (_xlfn.TOCOL(_xlpm.values) &gt; 0) *
        (INDEX(_xlpm.result,,1) &lt;&gt; "") *
        (INDEX(_xlpm.result,,2) &lt;&gt; "")
    ),
    _xlfn._xlws.SORT(_xlpm.filtered, {1,2}, {1,1})
)</f>
        <v>later_prop</v>
      </c>
      <c r="D146" s="3" t="str">
        <v>motor</v>
      </c>
      <c r="E146" s="12" cm="1">
        <f t="array" ref="E146:E152">_xlfn.MAP(_xlfn.SEQUENCE(ROWS(_xlfn.ANCHORARRAY($C146))), _xlfn.LAMBDA(_xlpm.r,
    _xlfn.LET(
        _xlpm.c_val, INDEX(_xlfn.ANCHORARRAY($C146), _xlpm.r, 1),
        _xlpm.d_val, INDEX(_xlfn.ANCHORARRAY($C146), _xlpm.r, 2),
        _xlpm.loc, MATCH(_xlpm.d_val, $U$43:$X$43, 0),
        _xlpm.valid, ($Y$44:$Y$93&lt;&gt;0)*($B$44:$B$93&gt;=1)*($C$44:$C$93=_xlpm.c_val),
        _xlpm.struc, IF(_xlpm.valid=0, 0, INDEX($U$44:$X$93,0,_xlpm.loc)/$Y$44:$Y$93*AM$44:AM$93),
        SUM(_xlpm.struc)
    )
))</f>
        <v>585273.64617739141</v>
      </c>
      <c r="F146" s="12" cm="1">
        <f t="array" ref="F146:F152">_xlfn.MAP(_xlfn.SEQUENCE(ROWS(_xlfn.ANCHORARRAY($C146))), _xlfn.LAMBDA(_xlpm.r,
    _xlfn.LET(
        _xlpm.c_val, INDEX(_xlfn.ANCHORARRAY($C146), _xlpm.r, 1),
        _xlpm.d_val, INDEX(_xlfn.ANCHORARRAY($C146), _xlpm.r, 2),
        _xlpm.loc, MATCH(_xlpm.d_val, $U$43:$X$43, 0),
        _xlpm.valid, ($Y$44:$Y$93&lt;&gt;0)*($B$44:$B$93&gt;=1)*($C$44:$C$93=_xlpm.c_val),
        _xlpm.struc, IF(_xlpm.valid=0, 0, INDEX($U$44:$X$93,0,_xlpm.loc)/$Y$44:$Y$93*AO$44:AO$93),
        SUM(_xlpm.struc)
    )
))</f>
        <v>585273.64617739141</v>
      </c>
      <c r="G146" s="12" cm="1">
        <f t="array" ref="G146:G152">_xlfn.MAP(_xlfn.SEQUENCE(ROWS(_xlfn.ANCHORARRAY($C146))), _xlfn.LAMBDA(_xlpm.r,
    _xlfn.LET(
        _xlpm.c_val, INDEX(_xlfn.ANCHORARRAY($C146), _xlpm.r, 1),
        _xlpm.d_val, INDEX(_xlfn.ANCHORARRAY($C146), _xlpm.r, 2),
        _xlpm.loc, MATCH(_xlpm.d_val, $U$43:$X$43, 0),
        _xlpm.valid, ($Y$44:$Y$93&lt;&gt;0)*($B$44:$B$93&gt;=1)*($C$44:$C$93=_xlpm.c_val),
        _xlpm.struc, IF(_xlpm.valid=0, 0, INDEX($U$44:$X$93,0,_xlpm.loc)/$Y$44:$Y$93*AP$44:AP$93),
        SUM(_xlpm.struc)
    )
))</f>
        <v>0</v>
      </c>
      <c r="H146" s="12" cm="1">
        <f t="array" ref="H146:H152">_xlfn.MAP(_xlfn.SEQUENCE(ROWS(_xlfn.ANCHORARRAY($C146))), _xlfn.LAMBDA(_xlpm.r,
    _xlfn.LET(
        _xlpm.c_val, INDEX(_xlfn.ANCHORARRAY($C146), _xlpm.r, 1),
        _xlpm.d_val, INDEX(_xlfn.ANCHORARRAY($C146), _xlpm.r, 2),
        _xlpm.loc, MATCH(_xlpm.d_val, $U$43:$X$43, 0),
        _xlpm.valid, ($Y$44:$Y$93&lt;&gt;0)*($B$44:$B$93&gt;=1)*($C$44:$C$93=_xlpm.c_val),
        _xlpm.struc, IF(_xlpm.valid=0, 0, INDEX($U$44:$X$93,0,_xlpm.loc)/$Y$44:$Y$93*AQ$44:AQ$93),
        SUM(_xlpm.struc)
    )
))</f>
        <v>585273.64617739141</v>
      </c>
    </row>
    <row r="147" spans="3:8">
      <c r="C147" s="4" t="str">
        <v>xol_1</v>
      </c>
      <c r="D147" s="4" t="str">
        <v>motor</v>
      </c>
      <c r="E147" s="13">
        <v>2918126.2312405109</v>
      </c>
      <c r="F147" s="13">
        <v>2334500.9849924087</v>
      </c>
      <c r="G147" s="13">
        <v>700350.29549772257</v>
      </c>
      <c r="H147" s="13">
        <v>1634150.6894946862</v>
      </c>
    </row>
    <row r="148" spans="3:8">
      <c r="C148" s="4" t="str">
        <v>xol_2</v>
      </c>
      <c r="D148" s="4" t="str">
        <v>motor</v>
      </c>
      <c r="E148" s="13">
        <v>2875725.9906215016</v>
      </c>
      <c r="F148" s="13">
        <v>2875725.9906215016</v>
      </c>
      <c r="G148" s="13">
        <v>451599.85073293094</v>
      </c>
      <c r="H148" s="13">
        <v>2424126.1398885706</v>
      </c>
    </row>
    <row r="149" spans="3:8">
      <c r="C149" s="4" t="str">
        <v>xol_3</v>
      </c>
      <c r="D149" s="4" t="str">
        <v>motor</v>
      </c>
      <c r="E149" s="13">
        <v>3994680.6902219942</v>
      </c>
      <c r="F149" s="13">
        <v>3994680.6902219942</v>
      </c>
      <c r="G149" s="13">
        <v>399468.06902219937</v>
      </c>
      <c r="H149" s="13">
        <v>3595212.6211997946</v>
      </c>
    </row>
    <row r="150" spans="3:8">
      <c r="C150" s="4" t="str">
        <v>xol_4</v>
      </c>
      <c r="D150" s="4" t="str">
        <v>motor</v>
      </c>
      <c r="E150" s="13">
        <v>7989361.3804439884</v>
      </c>
      <c r="F150" s="13">
        <v>7989361.3804439884</v>
      </c>
      <c r="G150" s="13">
        <v>234436.32462823487</v>
      </c>
      <c r="H150" s="13">
        <v>7754925.0558157526</v>
      </c>
    </row>
    <row r="151" spans="3:8">
      <c r="C151" s="4" t="str">
        <v>xol_5</v>
      </c>
      <c r="D151" s="4" t="str">
        <v>motor</v>
      </c>
      <c r="E151" s="13">
        <v>7989361.3804439884</v>
      </c>
      <c r="F151" s="13">
        <v>7989361.3804439884</v>
      </c>
      <c r="G151" s="13">
        <v>46887.264925646974</v>
      </c>
      <c r="H151" s="13">
        <v>7942474.1155183408</v>
      </c>
    </row>
    <row r="152" spans="3:8">
      <c r="C152" s="4" t="str">
        <v>xol_6</v>
      </c>
      <c r="D152" s="4" t="str">
        <v>motor</v>
      </c>
      <c r="E152" s="13">
        <v>0</v>
      </c>
      <c r="F152" s="13">
        <v>0</v>
      </c>
      <c r="G152" s="13">
        <v>0</v>
      </c>
      <c r="H152" s="13">
        <v>0</v>
      </c>
    </row>
    <row r="153" spans="3:8">
      <c r="C153" s="4"/>
      <c r="D153" s="4"/>
      <c r="E153" s="13"/>
      <c r="F153" s="13"/>
      <c r="G153" s="13"/>
      <c r="H153" s="13"/>
    </row>
    <row r="154" spans="3:8">
      <c r="C154" s="4"/>
      <c r="D154" s="4"/>
      <c r="E154" s="13"/>
      <c r="F154" s="13"/>
      <c r="G154" s="13"/>
      <c r="H154" s="13"/>
    </row>
    <row r="155" spans="3:8">
      <c r="C155" s="4"/>
      <c r="D155" s="4"/>
      <c r="E155" s="13"/>
      <c r="F155" s="13"/>
      <c r="G155" s="13"/>
      <c r="H155" s="13"/>
    </row>
    <row r="156" spans="3:8">
      <c r="C156" s="4"/>
      <c r="D156" s="4"/>
      <c r="E156" s="13"/>
      <c r="F156" s="13"/>
      <c r="G156" s="13"/>
      <c r="H156" s="13"/>
    </row>
    <row r="157" spans="3:8">
      <c r="C157" s="4"/>
      <c r="D157" s="4"/>
      <c r="E157" s="13"/>
      <c r="F157" s="13"/>
      <c r="G157" s="13"/>
      <c r="H157" s="13"/>
    </row>
    <row r="158" spans="3:8">
      <c r="C158" s="4"/>
      <c r="D158" s="4"/>
      <c r="E158" s="13"/>
      <c r="F158" s="13"/>
      <c r="G158" s="13"/>
      <c r="H158" s="13"/>
    </row>
    <row r="159" spans="3:8">
      <c r="C159" s="4"/>
      <c r="D159" s="4"/>
      <c r="E159" s="13"/>
      <c r="F159" s="13"/>
      <c r="G159" s="13"/>
      <c r="H159" s="13"/>
    </row>
    <row r="160" spans="3:8">
      <c r="C160" s="7"/>
      <c r="D160" s="7"/>
      <c r="E160" s="62"/>
      <c r="F160" s="62"/>
      <c r="G160" s="62"/>
      <c r="H160" s="62"/>
    </row>
    <row r="163" spans="3:7">
      <c r="C163" s="14" t="s">
        <v>207</v>
      </c>
    </row>
    <row r="166" spans="3:7">
      <c r="C166" s="85" t="s">
        <v>476</v>
      </c>
      <c r="D166" s="85" t="s">
        <v>459</v>
      </c>
      <c r="E166" s="85" t="s">
        <v>456</v>
      </c>
      <c r="F166" s="85" t="s">
        <v>460</v>
      </c>
      <c r="G166" s="85" t="s">
        <v>458</v>
      </c>
    </row>
    <row r="167" spans="3:7">
      <c r="C167" s="3" t="s">
        <v>473</v>
      </c>
      <c r="D167" s="12">
        <f t="shared" ref="D167" si="50">SUM(D100:D107)</f>
        <v>118890420.49543321</v>
      </c>
      <c r="E167" s="12">
        <f>SUM(E100:E107)</f>
        <v>115241246.52886643</v>
      </c>
      <c r="F167" s="12">
        <f t="shared" ref="F167:G167" si="51">SUM(F100:F107)</f>
        <v>4720000</v>
      </c>
      <c r="G167" s="12">
        <f t="shared" si="51"/>
        <v>110521246.52886643</v>
      </c>
    </row>
    <row r="168" spans="3:7">
      <c r="C168" s="4" t="s">
        <v>474</v>
      </c>
      <c r="D168" s="13">
        <f t="shared" ref="D168" si="52">SUM(D114:D117)</f>
        <v>118890420.49543321</v>
      </c>
      <c r="E168" s="13">
        <f>SUM(E114:E117)</f>
        <v>115241246.52886641</v>
      </c>
      <c r="F168" s="13">
        <f t="shared" ref="F168:G168" si="53">SUM(F114:F117)</f>
        <v>4720000</v>
      </c>
      <c r="G168" s="13">
        <f t="shared" si="53"/>
        <v>110521246.52886644</v>
      </c>
    </row>
    <row r="169" spans="3:7">
      <c r="C169" s="4" t="s">
        <v>475</v>
      </c>
      <c r="D169" s="13"/>
      <c r="E169" s="13">
        <f>SUM(E124:E139)</f>
        <v>115241246.52886643</v>
      </c>
      <c r="F169" s="13">
        <f t="shared" ref="F169:G169" si="54">SUM(F124:F139)</f>
        <v>4720000</v>
      </c>
      <c r="G169" s="13">
        <f t="shared" si="54"/>
        <v>110521246.52886643</v>
      </c>
    </row>
    <row r="170" spans="3:7">
      <c r="C170" s="7" t="s">
        <v>481</v>
      </c>
      <c r="D170" s="62">
        <f>SUM(_xlfn.ANCHORARRAY(E146))</f>
        <v>26352529.319149375</v>
      </c>
      <c r="E170" s="62">
        <f>SUM(_xlfn.ANCHORARRAY(F146))</f>
        <v>25768904.072901271</v>
      </c>
      <c r="F170" s="62">
        <f>SUM(_xlfn.ANCHORARRAY(G146))</f>
        <v>1832741.8048067347</v>
      </c>
      <c r="G170" s="62">
        <f>SUM(_xlfn.ANCHORARRAY(H146))</f>
        <v>23936162.268094536</v>
      </c>
    </row>
    <row r="171" spans="3:7">
      <c r="E171" s="10"/>
      <c r="F171" s="11"/>
    </row>
    <row r="172" spans="3:7">
      <c r="E172" s="10"/>
      <c r="F172" s="11"/>
    </row>
    <row r="173" spans="3:7">
      <c r="E173" s="10"/>
      <c r="F173" s="11"/>
    </row>
    <row r="174" spans="3:7">
      <c r="E174" s="10"/>
    </row>
    <row r="175" spans="3:7">
      <c r="E175" s="10"/>
    </row>
  </sheetData>
  <mergeCells count="20">
    <mergeCell ref="AA42:AI42"/>
    <mergeCell ref="AA56:AI56"/>
    <mergeCell ref="AA70:AI70"/>
    <mergeCell ref="AA84:AI84"/>
    <mergeCell ref="J42:N42"/>
    <mergeCell ref="J56:N56"/>
    <mergeCell ref="J70:N70"/>
    <mergeCell ref="J84:N84"/>
    <mergeCell ref="D84:H84"/>
    <mergeCell ref="AS84:AW84"/>
    <mergeCell ref="D42:H42"/>
    <mergeCell ref="AS42:AW42"/>
    <mergeCell ref="D56:H56"/>
    <mergeCell ref="AS56:AW56"/>
    <mergeCell ref="D70:H70"/>
    <mergeCell ref="AS70:AW70"/>
    <mergeCell ref="U42:Y42"/>
    <mergeCell ref="U56:Y56"/>
    <mergeCell ref="U70:Y70"/>
    <mergeCell ref="U84:Y84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ADC67-D883-49C2-BBB3-D5EDF8A57D54}">
  <sheetPr codeName="Sheet7"/>
  <dimension ref="A1:S95"/>
  <sheetViews>
    <sheetView workbookViewId="0">
      <selection activeCell="B3" sqref="A1:B3"/>
    </sheetView>
  </sheetViews>
  <sheetFormatPr defaultRowHeight="14.5"/>
  <cols>
    <col min="1" max="1" width="1.36328125" customWidth="1"/>
    <col min="2" max="2" width="17.453125" customWidth="1"/>
    <col min="3" max="7" width="26.453125" customWidth="1"/>
    <col min="8" max="8" width="1.26953125" customWidth="1"/>
    <col min="9" max="9" width="17.453125" customWidth="1"/>
    <col min="10" max="14" width="26.453125" customWidth="1"/>
    <col min="15" max="15" width="1.26953125" customWidth="1"/>
    <col min="16" max="19" width="14.08984375" customWidth="1"/>
  </cols>
  <sheetData>
    <row r="1" spans="1:19">
      <c r="A1" t="str" cm="1">
        <f t="array" aca="1" ref="A1" ca="1">CELL("filename",A1)</f>
        <v>C:\Sync\git_hub\vba_samplicity\[02_magnus_reinsurance.xlsm]Summary</v>
      </c>
    </row>
    <row r="2" spans="1:19">
      <c r="A2" s="14" t="s">
        <v>206</v>
      </c>
    </row>
    <row r="3" spans="1:19">
      <c r="A3" s="14" t="s">
        <v>464</v>
      </c>
    </row>
    <row r="5" spans="1:19">
      <c r="B5" s="106" t="s">
        <v>480</v>
      </c>
      <c r="C5" s="108">
        <v>3</v>
      </c>
    </row>
    <row r="6" spans="1:19">
      <c r="B6" s="106" t="s">
        <v>474</v>
      </c>
      <c r="C6" s="107" t="str">
        <f>'Reinsurance Calculation'!D6</f>
        <v>horizontal</v>
      </c>
    </row>
    <row r="8" spans="1:19">
      <c r="B8" s="109" t="s">
        <v>477</v>
      </c>
      <c r="C8" s="109"/>
      <c r="D8" s="109"/>
      <c r="E8" s="109"/>
      <c r="F8" s="109"/>
      <c r="G8" s="109"/>
      <c r="I8" s="109" t="s">
        <v>478</v>
      </c>
      <c r="J8" s="109"/>
      <c r="K8" s="109"/>
      <c r="L8" s="109"/>
      <c r="M8" s="109"/>
      <c r="N8" s="109"/>
      <c r="P8" s="101" t="s">
        <v>488</v>
      </c>
    </row>
    <row r="10" spans="1:19">
      <c r="B10" s="14" t="s">
        <v>467</v>
      </c>
    </row>
    <row r="13" spans="1:19">
      <c r="B13" s="95" t="s">
        <v>407</v>
      </c>
      <c r="C13" s="77" t="s">
        <v>459</v>
      </c>
      <c r="D13" s="85" t="s">
        <v>456</v>
      </c>
      <c r="E13" s="85" t="s">
        <v>460</v>
      </c>
      <c r="F13" s="85" t="s">
        <v>458</v>
      </c>
      <c r="I13" s="95" t="s">
        <v>407</v>
      </c>
      <c r="J13" s="77" t="s">
        <v>459</v>
      </c>
      <c r="K13" s="85" t="s">
        <v>456</v>
      </c>
      <c r="L13" s="85" t="s">
        <v>460</v>
      </c>
      <c r="M13" s="85" t="s">
        <v>458</v>
      </c>
      <c r="P13" s="101" t="s">
        <v>488</v>
      </c>
      <c r="Q13" s="101" t="s">
        <v>488</v>
      </c>
      <c r="R13" s="101" t="s">
        <v>488</v>
      </c>
      <c r="S13" s="101" t="s">
        <v>488</v>
      </c>
    </row>
    <row r="14" spans="1:19">
      <c r="B14" s="3" t="str" cm="1">
        <f t="array" ref="B14:F21">_xlfn.LET(_xlpm.dat,_xlfn._xlws.FILTER('Reinsurance Calculation'!$C$100:$G$107,'Reinsurance Calculation'!$D$100:$D$107&lt;&gt;0),_xlpm.sort,INDEX(_xlpm.dat,0,1),_xlfn.SORTBY(_xlpm.dat,_xlpm.sort))</f>
        <v>later_prop</v>
      </c>
      <c r="C14" s="12">
        <v>12091402.027111318</v>
      </c>
      <c r="D14" s="12">
        <v>12091402.027111318</v>
      </c>
      <c r="E14" s="12">
        <v>0</v>
      </c>
      <c r="F14" s="12">
        <v>12091402.027111318</v>
      </c>
      <c r="I14" s="3" t="str" cm="1">
        <f t="array" ref="I14:I20">_xlfn._xlws.SORT(_xlfn.UNIQUE(_xlfn._xlws.FILTER(Reinsurance!$H$8:$H$43,Reinsurance!$G$8:$G$43=Summary!$C$6)))</f>
        <v>later_prop</v>
      </c>
      <c r="J14" s="12">
        <f>SUMIFS(Reinsurance!K$8:K$43,Reinsurance!$G$8:$G$43,Summary!$C$6,Reinsurance!$H$8:$H$43,$I14)</f>
        <v>1489144.1020898852</v>
      </c>
      <c r="K14" s="12">
        <f>SUMIFS(Reinsurance!L$8:L$43,Reinsurance!$G$8:$G$43,Summary!$C$6,Reinsurance!$H$8:$H$43,$I14)</f>
        <v>1489144.1020898852</v>
      </c>
      <c r="L14" s="12">
        <f>SUMIFS(Reinsurance!M$8:M$43,Reinsurance!$G$8:$G$43,Summary!$C$6,Reinsurance!$H$8:$H$43,$I14)</f>
        <v>0</v>
      </c>
      <c r="M14" s="12">
        <f>SUMIFS(Reinsurance!N$8:N$43,Reinsurance!$G$8:$G$43,Summary!$C$6,Reinsurance!$H$8:$H$43,$I14)</f>
        <v>1489144.1020898852</v>
      </c>
      <c r="P14" s="12">
        <f>J14-C14</f>
        <v>-10602257.925021432</v>
      </c>
      <c r="Q14" s="12">
        <f>K14-D14</f>
        <v>-10602257.925021432</v>
      </c>
      <c r="R14" s="12">
        <f>L14-E14</f>
        <v>0</v>
      </c>
      <c r="S14" s="12">
        <f>M14-F14</f>
        <v>-10602257.925021432</v>
      </c>
    </row>
    <row r="15" spans="1:19">
      <c r="B15" s="4" t="str">
        <v>prop</v>
      </c>
      <c r="C15" s="13">
        <v>40923479.331335589</v>
      </c>
      <c r="D15" s="13">
        <v>38877305.364768803</v>
      </c>
      <c r="E15" s="13">
        <v>0</v>
      </c>
      <c r="F15" s="13">
        <v>38877305.364768803</v>
      </c>
      <c r="G15" s="11"/>
      <c r="I15" s="4" t="str">
        <v>prop</v>
      </c>
      <c r="J15" s="13">
        <f>SUMIFS(Reinsurance!K$8:K$43,Reinsurance!$G$8:$G$43,Summary!$C$6,Reinsurance!$H$8:$H$43,$I15)</f>
        <v>40923479.331335589</v>
      </c>
      <c r="K15" s="13">
        <f>SUMIFS(Reinsurance!L$8:L$43,Reinsurance!$G$8:$G$43,Summary!$C$6,Reinsurance!$H$8:$H$43,$I15)</f>
        <v>38877305.364768803</v>
      </c>
      <c r="L15" s="13">
        <f>SUMIFS(Reinsurance!M$8:M$43,Reinsurance!$G$8:$G$43,Summary!$C$6,Reinsurance!$H$8:$H$43,$I15)</f>
        <v>0</v>
      </c>
      <c r="M15" s="13">
        <f>SUMIFS(Reinsurance!N$8:N$43,Reinsurance!$G$8:$G$43,Summary!$C$6,Reinsurance!$H$8:$H$43,$I15)</f>
        <v>38877305.364768803</v>
      </c>
      <c r="P15" s="13">
        <f>J15-C15</f>
        <v>0</v>
      </c>
      <c r="Q15" s="13">
        <f>K15-D15</f>
        <v>0</v>
      </c>
      <c r="R15" s="13">
        <f>L15-E15</f>
        <v>0</v>
      </c>
      <c r="S15" s="13">
        <f>M15-F15</f>
        <v>0</v>
      </c>
    </row>
    <row r="16" spans="1:19">
      <c r="B16" s="4" t="str">
        <v>xol_1</v>
      </c>
      <c r="C16" s="13">
        <v>8000000</v>
      </c>
      <c r="D16" s="13">
        <v>6400000</v>
      </c>
      <c r="E16" s="13">
        <v>1920000</v>
      </c>
      <c r="F16" s="13">
        <v>4480000</v>
      </c>
      <c r="G16" s="114"/>
      <c r="I16" s="4" t="str">
        <v>xol_1</v>
      </c>
      <c r="J16" s="13">
        <f>SUMIFS(Reinsurance!K$8:K$43,Reinsurance!$G$8:$G$43,Summary!$C$6,Reinsurance!$H$8:$H$43,$I16)</f>
        <v>8000000</v>
      </c>
      <c r="K16" s="13">
        <f>SUMIFS(Reinsurance!L$8:L$43,Reinsurance!$G$8:$G$43,Summary!$C$6,Reinsurance!$H$8:$H$43,$I16)</f>
        <v>6400000</v>
      </c>
      <c r="L16" s="13">
        <f>SUMIFS(Reinsurance!M$8:M$43,Reinsurance!$G$8:$G$43,Summary!$C$6,Reinsurance!$H$8:$H$43,$I16)</f>
        <v>1920000</v>
      </c>
      <c r="M16" s="13">
        <f>SUMIFS(Reinsurance!N$8:N$43,Reinsurance!$G$8:$G$43,Summary!$C$6,Reinsurance!$H$8:$H$43,$I16)</f>
        <v>4480000</v>
      </c>
      <c r="N16" s="117"/>
      <c r="P16" s="13">
        <f>J16-C16</f>
        <v>0</v>
      </c>
      <c r="Q16" s="13">
        <f>K16-D16</f>
        <v>0</v>
      </c>
      <c r="R16" s="13">
        <f>L16-E16</f>
        <v>0</v>
      </c>
      <c r="S16" s="13">
        <f>M16-F16</f>
        <v>0</v>
      </c>
    </row>
    <row r="17" spans="2:19">
      <c r="B17" s="4" t="str">
        <v>xol_2</v>
      </c>
      <c r="C17" s="13">
        <v>7871539.1369863003</v>
      </c>
      <c r="D17" s="13">
        <v>7871539.1369863003</v>
      </c>
      <c r="E17" s="13">
        <v>1200000</v>
      </c>
      <c r="F17" s="13">
        <v>6671539.1369863003</v>
      </c>
      <c r="G17" s="11"/>
      <c r="I17" s="4" t="str">
        <v>xol_2</v>
      </c>
      <c r="J17" s="13">
        <f>SUMIFS(Reinsurance!K$8:K$43,Reinsurance!$G$8:$G$43,Summary!$C$6,Reinsurance!$H$8:$H$43,$I17)</f>
        <v>4564886.8921232857</v>
      </c>
      <c r="K17" s="13">
        <f>SUMIFS(Reinsurance!L$8:L$43,Reinsurance!$G$8:$G$43,Summary!$C$6,Reinsurance!$H$8:$H$43,$I17)</f>
        <v>4564886.8921232857</v>
      </c>
      <c r="L17" s="13">
        <f>SUMIFS(Reinsurance!M$8:M$43,Reinsurance!$G$8:$G$43,Summary!$C$6,Reinsurance!$H$8:$H$43,$I17)</f>
        <v>912977.37842465716</v>
      </c>
      <c r="M17" s="13">
        <f>SUMIFS(Reinsurance!N$8:N$43,Reinsurance!$G$8:$G$43,Summary!$C$6,Reinsurance!$H$8:$H$43,$I17)</f>
        <v>3651909.5136986282</v>
      </c>
      <c r="N17" s="22"/>
      <c r="P17" s="13">
        <f>J17-C17</f>
        <v>-3306652.2448630147</v>
      </c>
      <c r="Q17" s="13">
        <f>K17-D17</f>
        <v>-3306652.2448630147</v>
      </c>
      <c r="R17" s="13">
        <f>L17-E17</f>
        <v>-287022.62157534284</v>
      </c>
      <c r="S17" s="13">
        <f>M17-F17</f>
        <v>-3019629.6232876722</v>
      </c>
    </row>
    <row r="18" spans="2:19">
      <c r="B18" s="4" t="str">
        <v>xol_3</v>
      </c>
      <c r="C18" s="13">
        <v>10000000</v>
      </c>
      <c r="D18" s="13">
        <v>10000000</v>
      </c>
      <c r="E18" s="13">
        <v>1000000</v>
      </c>
      <c r="F18" s="13">
        <v>9000000</v>
      </c>
      <c r="I18" s="4" t="str">
        <v>xol_3</v>
      </c>
      <c r="J18" s="13">
        <f>SUMIFS(Reinsurance!K$8:K$43,Reinsurance!$G$8:$G$43,Summary!$C$6,Reinsurance!$H$8:$H$43,$I18)</f>
        <v>10000000</v>
      </c>
      <c r="K18" s="13">
        <f>SUMIFS(Reinsurance!L$8:L$43,Reinsurance!$G$8:$G$43,Summary!$C$6,Reinsurance!$H$8:$H$43,$I18)</f>
        <v>10000000</v>
      </c>
      <c r="L18" s="13">
        <f>SUMIFS(Reinsurance!M$8:M$43,Reinsurance!$G$8:$G$43,Summary!$C$6,Reinsurance!$H$8:$H$43,$I18)</f>
        <v>1000000</v>
      </c>
      <c r="M18" s="13">
        <f>SUMIFS(Reinsurance!N$8:N$43,Reinsurance!$G$8:$G$43,Summary!$C$6,Reinsurance!$H$8:$H$43,$I18)</f>
        <v>9000000</v>
      </c>
      <c r="P18" s="13">
        <f>J18-C18</f>
        <v>0</v>
      </c>
      <c r="Q18" s="13">
        <f>K18-D18</f>
        <v>0</v>
      </c>
      <c r="R18" s="13">
        <f>L18-E18</f>
        <v>0</v>
      </c>
      <c r="S18" s="13">
        <f>M18-F18</f>
        <v>0</v>
      </c>
    </row>
    <row r="19" spans="2:19">
      <c r="B19" s="4" t="str">
        <v>xol_4</v>
      </c>
      <c r="C19" s="13">
        <v>20000000</v>
      </c>
      <c r="D19" s="13">
        <v>20000000</v>
      </c>
      <c r="E19" s="13">
        <v>500000</v>
      </c>
      <c r="F19" s="13">
        <v>19500000</v>
      </c>
      <c r="I19" s="4" t="str">
        <v>xol_4</v>
      </c>
      <c r="J19" s="13">
        <f>SUMIFS(Reinsurance!K$8:K$43,Reinsurance!$G$8:$G$43,Summary!$C$6,Reinsurance!$H$8:$H$43,$I19)</f>
        <v>20000000</v>
      </c>
      <c r="K19" s="13">
        <f>SUMIFS(Reinsurance!L$8:L$43,Reinsurance!$G$8:$G$43,Summary!$C$6,Reinsurance!$H$8:$H$43,$I19)</f>
        <v>20000000</v>
      </c>
      <c r="L19" s="13">
        <f>SUMIFS(Reinsurance!M$8:M$43,Reinsurance!$G$8:$G$43,Summary!$C$6,Reinsurance!$H$8:$H$43,$I19)</f>
        <v>500000</v>
      </c>
      <c r="M19" s="13">
        <f>SUMIFS(Reinsurance!N$8:N$43,Reinsurance!$G$8:$G$43,Summary!$C$6,Reinsurance!$H$8:$H$43,$I19)</f>
        <v>19500000</v>
      </c>
      <c r="P19" s="13">
        <f>J19-C19</f>
        <v>0</v>
      </c>
      <c r="Q19" s="13">
        <f>K19-D19</f>
        <v>0</v>
      </c>
      <c r="R19" s="13">
        <f>L19-E19</f>
        <v>0</v>
      </c>
      <c r="S19" s="13">
        <f>M19-F19</f>
        <v>0</v>
      </c>
    </row>
    <row r="20" spans="2:19">
      <c r="B20" s="4" t="str">
        <v>xol_5</v>
      </c>
      <c r="C20" s="13">
        <v>20000000</v>
      </c>
      <c r="D20" s="13">
        <v>20000000</v>
      </c>
      <c r="E20" s="13">
        <v>100000</v>
      </c>
      <c r="F20" s="13">
        <v>19900000</v>
      </c>
      <c r="I20" s="4" t="str">
        <v>xol_5</v>
      </c>
      <c r="J20" s="13">
        <f>SUMIFS(Reinsurance!K$8:K$43,Reinsurance!$G$8:$G$43,Summary!$C$6,Reinsurance!$H$8:$H$43,$I20)</f>
        <v>20000000</v>
      </c>
      <c r="K20" s="13">
        <f>SUMIFS(Reinsurance!L$8:L$43,Reinsurance!$G$8:$G$43,Summary!$C$6,Reinsurance!$H$8:$H$43,$I20)</f>
        <v>20000000</v>
      </c>
      <c r="L20" s="13">
        <f>SUMIFS(Reinsurance!M$8:M$43,Reinsurance!$G$8:$G$43,Summary!$C$6,Reinsurance!$H$8:$H$43,$I20)</f>
        <v>100000</v>
      </c>
      <c r="M20" s="13">
        <f>SUMIFS(Reinsurance!N$8:N$43,Reinsurance!$G$8:$G$43,Summary!$C$6,Reinsurance!$H$8:$H$43,$I20)</f>
        <v>19900000</v>
      </c>
      <c r="P20" s="13">
        <f>J20-C20</f>
        <v>0</v>
      </c>
      <c r="Q20" s="13">
        <f>K20-D20</f>
        <v>0</v>
      </c>
      <c r="R20" s="13">
        <f>L20-E20</f>
        <v>0</v>
      </c>
      <c r="S20" s="13">
        <f>M20-F20</f>
        <v>0</v>
      </c>
    </row>
    <row r="21" spans="2:19">
      <c r="B21" s="7" t="str">
        <v>xol_6</v>
      </c>
      <c r="C21" s="62">
        <v>4000</v>
      </c>
      <c r="D21" s="62">
        <v>1000</v>
      </c>
      <c r="E21" s="62">
        <v>0</v>
      </c>
      <c r="F21" s="62">
        <v>1000</v>
      </c>
      <c r="I21" s="7"/>
      <c r="J21" s="62">
        <f>SUMIFS(Reinsurance!K$8:K$43,Reinsurance!$G$8:$G$43,Summary!$C$6,Reinsurance!$H$8:$H$43,$I21)</f>
        <v>0</v>
      </c>
      <c r="K21" s="62">
        <f>SUMIFS(Reinsurance!L$8:L$43,Reinsurance!$G$8:$G$43,Summary!$C$6,Reinsurance!$H$8:$H$43,$I21)</f>
        <v>0</v>
      </c>
      <c r="L21" s="62">
        <f>SUMIFS(Reinsurance!M$8:M$43,Reinsurance!$G$8:$G$43,Summary!$C$6,Reinsurance!$H$8:$H$43,$I21)</f>
        <v>0</v>
      </c>
      <c r="M21" s="62">
        <f>SUMIFS(Reinsurance!N$8:N$43,Reinsurance!$G$8:$G$43,Summary!$C$6,Reinsurance!$H$8:$H$43,$I21)</f>
        <v>0</v>
      </c>
      <c r="P21" s="62">
        <f>J21-C21</f>
        <v>-4000</v>
      </c>
      <c r="Q21" s="62">
        <f>K21-D21</f>
        <v>-1000</v>
      </c>
      <c r="R21" s="62">
        <f>L21-E21</f>
        <v>0</v>
      </c>
      <c r="S21" s="62">
        <f>M21-F21</f>
        <v>-1000</v>
      </c>
    </row>
    <row r="23" spans="2:19">
      <c r="J23" s="11">
        <f>J20-C20</f>
        <v>0</v>
      </c>
      <c r="L23" s="11"/>
    </row>
    <row r="24" spans="2:19">
      <c r="B24" s="14" t="s">
        <v>469</v>
      </c>
      <c r="I24" s="14"/>
    </row>
    <row r="27" spans="2:19">
      <c r="B27" s="95" t="s">
        <v>474</v>
      </c>
      <c r="C27" s="85" t="s">
        <v>459</v>
      </c>
      <c r="D27" s="85" t="s">
        <v>456</v>
      </c>
      <c r="E27" s="85" t="s">
        <v>460</v>
      </c>
      <c r="F27" s="85" t="s">
        <v>458</v>
      </c>
      <c r="I27" s="95" t="s">
        <v>474</v>
      </c>
      <c r="J27" s="85" t="s">
        <v>459</v>
      </c>
      <c r="K27" s="85" t="s">
        <v>456</v>
      </c>
      <c r="L27" s="85" t="s">
        <v>460</v>
      </c>
      <c r="M27" s="85" t="s">
        <v>458</v>
      </c>
      <c r="P27" s="101" t="s">
        <v>488</v>
      </c>
      <c r="Q27" s="101" t="s">
        <v>488</v>
      </c>
      <c r="R27" s="101" t="s">
        <v>488</v>
      </c>
      <c r="S27" s="101" t="s">
        <v>488</v>
      </c>
    </row>
    <row r="28" spans="2:19">
      <c r="B28" s="3" cm="1">
        <f t="array" ref="B28:F31">_xlfn.LET(_xlpm.dat,'Reinsurance Calculation'!$C$114:$G$117,_xlpm.sort,INDEX(_xlpm.dat,0,1),_xlfn.SORTBY(_xlpm.dat,_xlpm.sort))</f>
        <v>1</v>
      </c>
      <c r="C28" s="12">
        <v>45317935.25</v>
      </c>
      <c r="D28" s="12">
        <v>44277088.487499997</v>
      </c>
      <c r="E28" s="12">
        <v>1980000</v>
      </c>
      <c r="F28" s="12">
        <v>42297088.487499997</v>
      </c>
      <c r="I28" s="3" cm="1">
        <f t="array" ref="I28:I32">_xlfn._xlws.SORT(_xlfn.UNIQUE(_xlfn._xlws.FILTER(Reinsurance!$O$8:$O$43,Reinsurance!$G$8:$G$43=Summary!$C$6)))</f>
        <v>1</v>
      </c>
      <c r="J28" s="12">
        <f>SUMIFS(Reinsurance!P$8:P$43,Reinsurance!$G$8:$G$43,Summary!$C$6,Reinsurance!$O$8:$O$43,$I28)</f>
        <v>42263823.351083055</v>
      </c>
      <c r="K28" s="12">
        <f>SUMIFS(Reinsurance!Q$8:Q$43,Reinsurance!$G$8:$G$43,Summary!$C$6,Reinsurance!$O$8:$O$43,$I28)</f>
        <v>41222976.588583052</v>
      </c>
      <c r="L28" s="12">
        <f>SUMIFS(Reinsurance!R$8:R$43,Reinsurance!$G$8:$G$43,Summary!$C$6,Reinsurance!$O$8:$O$43,$I28)</f>
        <v>1980000</v>
      </c>
      <c r="M28" s="12">
        <f>K28-L28</f>
        <v>39242976.588583052</v>
      </c>
      <c r="N28" s="11"/>
      <c r="P28" s="12">
        <f>J28-C28</f>
        <v>-3054111.8989169449</v>
      </c>
      <c r="Q28" s="12">
        <f t="shared" ref="Q28:S31" si="0">K28-D28</f>
        <v>-3054111.8989169449</v>
      </c>
      <c r="R28" s="12">
        <f t="shared" si="0"/>
        <v>0</v>
      </c>
      <c r="S28" s="12">
        <f t="shared" si="0"/>
        <v>-3054111.8989169449</v>
      </c>
    </row>
    <row r="29" spans="2:19">
      <c r="B29" s="4">
        <v>2</v>
      </c>
      <c r="C29" s="13">
        <v>8135796.7044803156</v>
      </c>
      <c r="D29" s="13">
        <v>7652130.3983587399</v>
      </c>
      <c r="E29" s="13">
        <v>867153.91369863006</v>
      </c>
      <c r="F29" s="13">
        <v>6784976.4846601104</v>
      </c>
      <c r="I29" s="4">
        <v>2</v>
      </c>
      <c r="J29" s="13">
        <f>SUMIFS(Reinsurance!P$8:P$43,Reinsurance!$G$8:$G$43,Summary!$C$6,Reinsurance!$O$8:$O$43,$I29)</f>
        <v>4283188.2354954267</v>
      </c>
      <c r="K29" s="13">
        <f>SUMIFS(Reinsurance!Q$8:Q$43,Reinsurance!$G$8:$G$43,Summary!$C$6,Reinsurance!$O$8:$O$43,$I29)</f>
        <v>3800521.9293738506</v>
      </c>
      <c r="L29" s="13">
        <f>SUMIFS(Reinsurance!R$8:R$43,Reinsurance!$G$8:$G$43,Summary!$C$6,Reinsurance!$O$8:$O$43,$I29)</f>
        <v>536488.68921232864</v>
      </c>
      <c r="M29" s="13">
        <f t="shared" ref="M29:M31" si="1">K29-L29</f>
        <v>3264033.2401615218</v>
      </c>
      <c r="N29" s="11"/>
      <c r="O29" s="11"/>
      <c r="P29" s="13">
        <f>J29-C29</f>
        <v>-3852608.4689848889</v>
      </c>
      <c r="Q29" s="13">
        <f t="shared" si="0"/>
        <v>-3851608.4689848893</v>
      </c>
      <c r="R29" s="13">
        <f t="shared" si="0"/>
        <v>-330665.22448630142</v>
      </c>
      <c r="S29" s="13">
        <f t="shared" si="0"/>
        <v>-3520943.2444985886</v>
      </c>
    </row>
    <row r="30" spans="2:19">
      <c r="B30" s="4">
        <v>3</v>
      </c>
      <c r="C30" s="13">
        <v>57300891.836472571</v>
      </c>
      <c r="D30" s="13">
        <v>55659897.244648948</v>
      </c>
      <c r="E30" s="13">
        <v>1380000</v>
      </c>
      <c r="F30" s="13">
        <v>54279897.244648948</v>
      </c>
      <c r="I30" s="4">
        <v>3</v>
      </c>
      <c r="J30" s="13">
        <f>SUMIFS(Reinsurance!P$8:P$43,Reinsurance!$G$8:$G$43,Summary!$C$6,Reinsurance!$O$8:$O$43,$I30)</f>
        <v>54147310.503474854</v>
      </c>
      <c r="K30" s="13">
        <f>SUMIFS(Reinsurance!Q$8:Q$43,Reinsurance!$G$8:$G$43,Summary!$C$6,Reinsurance!$O$8:$O$43,$I30)</f>
        <v>52507315.911651216</v>
      </c>
      <c r="L30" s="13">
        <f>SUMIFS(Reinsurance!R$8:R$43,Reinsurance!$G$8:$G$43,Summary!$C$6,Reinsurance!$O$8:$O$43,$I30)</f>
        <v>1380000</v>
      </c>
      <c r="M30" s="13">
        <f t="shared" si="1"/>
        <v>51127315.911651216</v>
      </c>
      <c r="N30" s="11"/>
      <c r="P30" s="13">
        <f>J30-C30</f>
        <v>-3153581.332997717</v>
      </c>
      <c r="Q30" s="13">
        <f t="shared" si="0"/>
        <v>-3152581.3329977319</v>
      </c>
      <c r="R30" s="13">
        <f t="shared" si="0"/>
        <v>0</v>
      </c>
      <c r="S30" s="13">
        <f t="shared" si="0"/>
        <v>-3152581.3329977319</v>
      </c>
    </row>
    <row r="31" spans="2:19">
      <c r="B31" s="7">
        <v>4</v>
      </c>
      <c r="C31" s="62">
        <v>8135796.7044803156</v>
      </c>
      <c r="D31" s="62">
        <v>7652130.3983587399</v>
      </c>
      <c r="E31" s="62">
        <v>492846.08630137006</v>
      </c>
      <c r="F31" s="62">
        <v>7159284.3120573703</v>
      </c>
      <c r="I31" s="7">
        <v>4</v>
      </c>
      <c r="J31" s="62">
        <f>SUMIFS(Reinsurance!P$8:P$43,Reinsurance!$G$8:$G$43,Summary!$C$6,Reinsurance!$O$8:$O$43,$I31)</f>
        <v>4283188.2354954267</v>
      </c>
      <c r="K31" s="62">
        <f>SUMIFS(Reinsurance!Q$8:Q$43,Reinsurance!$G$8:$G$43,Summary!$C$6,Reinsurance!$O$8:$O$43,$I31)</f>
        <v>3800521.9293738506</v>
      </c>
      <c r="L31" s="62">
        <f>SUMIFS(Reinsurance!R$8:R$43,Reinsurance!$G$8:$G$43,Summary!$C$6,Reinsurance!$O$8:$O$43,$I31)</f>
        <v>536488.68921232864</v>
      </c>
      <c r="M31" s="62">
        <f t="shared" si="1"/>
        <v>3264033.2401615218</v>
      </c>
      <c r="N31" s="11"/>
      <c r="P31" s="62">
        <f>J31-C31</f>
        <v>-3852608.4689848889</v>
      </c>
      <c r="Q31" s="62">
        <f t="shared" si="0"/>
        <v>-3851608.4689848893</v>
      </c>
      <c r="R31" s="62">
        <f t="shared" si="0"/>
        <v>43642.60291095858</v>
      </c>
      <c r="S31" s="62">
        <f t="shared" si="0"/>
        <v>-3895251.0718958485</v>
      </c>
    </row>
    <row r="32" spans="2:19">
      <c r="C32" s="105"/>
      <c r="E32" s="105"/>
      <c r="F32" s="105"/>
      <c r="G32" s="105"/>
      <c r="I32" t="str">
        <v/>
      </c>
      <c r="J32" s="105"/>
      <c r="L32" s="105"/>
      <c r="M32" s="105"/>
      <c r="N32" s="105"/>
    </row>
    <row r="33" spans="2:16">
      <c r="C33" s="105"/>
      <c r="E33" s="105"/>
      <c r="F33" s="105"/>
      <c r="G33" s="105"/>
      <c r="J33" s="105"/>
      <c r="K33" s="11"/>
      <c r="L33" s="105"/>
      <c r="M33" s="105"/>
      <c r="N33" s="105"/>
    </row>
    <row r="34" spans="2:16">
      <c r="B34" s="14" t="s">
        <v>472</v>
      </c>
      <c r="G34" s="105"/>
      <c r="I34" s="14"/>
      <c r="N34" s="105"/>
    </row>
    <row r="35" spans="2:16">
      <c r="G35" s="105"/>
      <c r="N35" s="105"/>
    </row>
    <row r="36" spans="2:16">
      <c r="G36" s="105"/>
      <c r="N36" s="105"/>
    </row>
    <row r="37" spans="2:16">
      <c r="B37" s="95" t="s">
        <v>475</v>
      </c>
      <c r="C37" s="85" t="s">
        <v>459</v>
      </c>
      <c r="D37" s="85" t="s">
        <v>456</v>
      </c>
      <c r="E37" s="85" t="s">
        <v>460</v>
      </c>
      <c r="F37" s="85" t="s">
        <v>458</v>
      </c>
      <c r="G37" s="105"/>
      <c r="I37" s="95" t="s">
        <v>475</v>
      </c>
      <c r="J37" s="85" t="s">
        <v>459</v>
      </c>
      <c r="K37" s="85" t="s">
        <v>456</v>
      </c>
      <c r="L37" s="85" t="s">
        <v>460</v>
      </c>
      <c r="M37" s="85" t="s">
        <v>458</v>
      </c>
      <c r="N37" s="105"/>
      <c r="P37" s="101" t="s">
        <v>488</v>
      </c>
    </row>
    <row r="38" spans="2:16">
      <c r="B38" s="3" t="str" cm="1">
        <f t="array" ref="B38:F46">_xlfn.LET(_xlpm.dat,_xlfn._xlws.FILTER('Reinsurance Calculation'!$C$124:$G$139,'Reinsurance Calculation'!$E$124:$E$139&lt;&gt;0),_xlpm.sort,INDEX(_xlpm.dat,0,1),_xlfn.SORTBY(_xlpm.dat,_xlpm.sort))</f>
        <v>A</v>
      </c>
      <c r="C38">
        <v>0</v>
      </c>
      <c r="D38" s="12">
        <v>62330502.466309346</v>
      </c>
      <c r="E38" s="12">
        <v>445000</v>
      </c>
      <c r="F38" s="12">
        <v>61885502.466309346</v>
      </c>
      <c r="G38" s="105"/>
      <c r="I38" s="3" t="str" cm="1">
        <f t="array" ref="I38:I46">_xlfn._xlws.SORT(_xlfn.UNIQUE(_xlfn._xlws.FILTER(Reinsurance!$S$8:$S$43,(Reinsurance!$G$8:$G$43=Summary!$C$6)*(Reinsurance!$S$8:$S$43&lt;&gt;""))))</f>
        <v>A</v>
      </c>
      <c r="K38" s="12"/>
      <c r="L38" s="12"/>
      <c r="M38" s="12">
        <f>SUMIFS(Reinsurance!$T$8:$T$43,Reinsurance!$G$8:$G$43,Summary!$C$6,Reinsurance!$S$8:$S$43,$I38)</f>
        <v>50377022.320968278</v>
      </c>
      <c r="N38" s="105"/>
      <c r="P38" s="12">
        <f>M38-F38</f>
        <v>-11508480.145341069</v>
      </c>
    </row>
    <row r="39" spans="2:16">
      <c r="B39" s="4" t="str">
        <v>B</v>
      </c>
      <c r="C39">
        <v>0</v>
      </c>
      <c r="D39" s="13">
        <v>9400333.333333334</v>
      </c>
      <c r="E39" s="13">
        <v>945000</v>
      </c>
      <c r="F39" s="13">
        <v>8455333.333333334</v>
      </c>
      <c r="G39" s="105"/>
      <c r="I39" s="4" t="str">
        <v>B</v>
      </c>
      <c r="K39" s="13"/>
      <c r="L39" s="13"/>
      <c r="M39" s="13">
        <f>SUMIFS(Reinsurance!$T$8:$T$43,Reinsurance!$G$8:$G$43,Summary!$C$6,Reinsurance!$S$8:$S$43,$I39)</f>
        <v>8455000.0000000019</v>
      </c>
      <c r="N39" s="105"/>
      <c r="P39" s="13">
        <f t="shared" ref="P39:P53" si="2">M39-F39</f>
        <v>-333.33333333209157</v>
      </c>
    </row>
    <row r="40" spans="2:16">
      <c r="B40" s="4" t="str">
        <v>C</v>
      </c>
      <c r="C40">
        <v>0</v>
      </c>
      <c r="D40" s="13">
        <v>9548948.9881278537</v>
      </c>
      <c r="E40" s="13">
        <v>1300000</v>
      </c>
      <c r="F40" s="13">
        <v>8248948.9881278528</v>
      </c>
      <c r="G40" s="105"/>
      <c r="I40" s="4" t="str">
        <v>C</v>
      </c>
      <c r="K40" s="13"/>
      <c r="L40" s="13"/>
      <c r="M40" s="13">
        <f>SUMIFS(Reinsurance!$T$8:$T$43,Reinsurance!$G$8:$G$43,Summary!$C$6,Reinsurance!$S$8:$S$43,$I40)</f>
        <v>7040763.805479452</v>
      </c>
      <c r="N40" s="105"/>
      <c r="P40" s="13">
        <f t="shared" si="2"/>
        <v>-1208185.1826484008</v>
      </c>
    </row>
    <row r="41" spans="2:16">
      <c r="B41" s="4" t="str">
        <v>D</v>
      </c>
      <c r="C41">
        <v>0</v>
      </c>
      <c r="D41" s="13">
        <v>5000000</v>
      </c>
      <c r="E41" s="13">
        <v>500000</v>
      </c>
      <c r="F41" s="13">
        <v>4500000</v>
      </c>
      <c r="G41" s="105"/>
      <c r="I41" s="4" t="str">
        <v>D</v>
      </c>
      <c r="K41" s="13"/>
      <c r="L41" s="13"/>
      <c r="M41" s="13">
        <f>SUMIFS(Reinsurance!$T$8:$T$43,Reinsurance!$G$8:$G$43,Summary!$C$6,Reinsurance!$S$8:$S$43,$I41)</f>
        <v>4500000</v>
      </c>
      <c r="N41" s="105"/>
      <c r="P41" s="13">
        <f t="shared" si="2"/>
        <v>0</v>
      </c>
    </row>
    <row r="42" spans="2:16">
      <c r="B42" s="4" t="str">
        <v>E</v>
      </c>
      <c r="C42">
        <v>0</v>
      </c>
      <c r="D42" s="13">
        <v>14000000</v>
      </c>
      <c r="E42" s="13">
        <v>350000</v>
      </c>
      <c r="F42" s="13">
        <v>13650000</v>
      </c>
      <c r="G42" s="105"/>
      <c r="I42" s="4" t="str">
        <v>E</v>
      </c>
      <c r="K42" s="13"/>
      <c r="L42" s="13"/>
      <c r="M42" s="13">
        <f>SUMIFS(Reinsurance!$T$8:$T$43,Reinsurance!$G$8:$G$43,Summary!$C$6,Reinsurance!$S$8:$S$43,$I42)</f>
        <v>13650000</v>
      </c>
      <c r="N42" s="105"/>
      <c r="P42" s="13">
        <f t="shared" si="2"/>
        <v>0</v>
      </c>
    </row>
    <row r="43" spans="2:16">
      <c r="B43" s="4" t="str">
        <v>F</v>
      </c>
      <c r="C43">
        <v>0</v>
      </c>
      <c r="D43" s="13">
        <v>8000000</v>
      </c>
      <c r="E43" s="13">
        <v>40000</v>
      </c>
      <c r="F43" s="13">
        <v>7960000</v>
      </c>
      <c r="G43" s="105"/>
      <c r="I43" s="4" t="str">
        <v>F</v>
      </c>
      <c r="K43" s="13"/>
      <c r="L43" s="13"/>
      <c r="M43" s="13">
        <f>SUMIFS(Reinsurance!$T$8:$T$43,Reinsurance!$G$8:$G$43,Summary!$C$6,Reinsurance!$S$8:$S$43,$I43)</f>
        <v>7960000.0000000009</v>
      </c>
      <c r="N43" s="105"/>
      <c r="P43" s="13">
        <f t="shared" si="2"/>
        <v>0</v>
      </c>
    </row>
    <row r="44" spans="2:16">
      <c r="B44" s="4" t="str">
        <v>G</v>
      </c>
      <c r="C44">
        <v>0</v>
      </c>
      <c r="D44" s="13">
        <v>1600000</v>
      </c>
      <c r="E44" s="13">
        <v>480000</v>
      </c>
      <c r="F44" s="13">
        <v>1120000</v>
      </c>
      <c r="G44" s="105"/>
      <c r="I44" s="4" t="str">
        <v>G</v>
      </c>
      <c r="K44" s="13"/>
      <c r="L44" s="13"/>
      <c r="M44" s="13">
        <f>SUMIFS(Reinsurance!$T$8:$T$43,Reinsurance!$G$8:$G$43,Summary!$C$6,Reinsurance!$S$8:$S$43,$I44)</f>
        <v>1120000</v>
      </c>
      <c r="N44" s="105"/>
      <c r="P44" s="13">
        <f t="shared" si="2"/>
        <v>0</v>
      </c>
    </row>
    <row r="45" spans="2:16">
      <c r="B45" s="4" t="str">
        <v>H</v>
      </c>
      <c r="C45">
        <v>0</v>
      </c>
      <c r="D45" s="13">
        <v>2361461.7410958898</v>
      </c>
      <c r="E45" s="13">
        <v>360000</v>
      </c>
      <c r="F45" s="13">
        <v>2001461.7410958901</v>
      </c>
      <c r="G45" s="105"/>
      <c r="I45" s="4" t="str">
        <v>H</v>
      </c>
      <c r="K45" s="13"/>
      <c r="L45" s="13"/>
      <c r="M45" s="13">
        <f>SUMIFS(Reinsurance!$T$8:$T$43,Reinsurance!$G$8:$G$43,Summary!$C$6,Reinsurance!$S$8:$S$43,$I45)</f>
        <v>1095572.8541095885</v>
      </c>
      <c r="N45" s="105"/>
      <c r="P45" s="13">
        <f t="shared" si="2"/>
        <v>-905888.88698630151</v>
      </c>
    </row>
    <row r="46" spans="2:16">
      <c r="B46" s="4" t="str">
        <v>I</v>
      </c>
      <c r="C46">
        <v>0</v>
      </c>
      <c r="D46" s="13">
        <v>3000000</v>
      </c>
      <c r="E46" s="13">
        <v>300000</v>
      </c>
      <c r="F46" s="13">
        <v>2700000</v>
      </c>
      <c r="G46" s="105"/>
      <c r="I46" s="4" t="str">
        <v>I</v>
      </c>
      <c r="K46" s="13"/>
      <c r="L46" s="13"/>
      <c r="M46" s="13">
        <f>SUMIFS(Reinsurance!$T$8:$T$43,Reinsurance!$G$8:$G$43,Summary!$C$6,Reinsurance!$S$8:$S$43,$I46)</f>
        <v>2700000</v>
      </c>
      <c r="N46" s="105"/>
      <c r="P46" s="13">
        <f t="shared" si="2"/>
        <v>0</v>
      </c>
    </row>
    <row r="47" spans="2:16">
      <c r="B47" s="4"/>
      <c r="C47" s="13"/>
      <c r="D47" s="4"/>
      <c r="E47" s="13"/>
      <c r="F47" s="13"/>
      <c r="G47" s="105"/>
      <c r="I47" s="4"/>
      <c r="J47" s="13"/>
      <c r="K47" s="4"/>
      <c r="L47" s="13"/>
      <c r="M47" s="13">
        <f>SUMIFS(Reinsurance!$T$8:$T$43,Reinsurance!$G$8:$G$43,Summary!$C$6,Reinsurance!$S$8:$S$43,$I47)</f>
        <v>0</v>
      </c>
      <c r="N47" s="105"/>
      <c r="P47" s="13">
        <f t="shared" si="2"/>
        <v>0</v>
      </c>
    </row>
    <row r="48" spans="2:16">
      <c r="B48" s="4"/>
      <c r="C48" s="13"/>
      <c r="D48" s="4"/>
      <c r="E48" s="13"/>
      <c r="F48" s="13"/>
      <c r="G48" s="105"/>
      <c r="I48" s="4"/>
      <c r="J48" s="13"/>
      <c r="K48" s="4"/>
      <c r="L48" s="13"/>
      <c r="M48" s="13">
        <f>SUMIFS(Reinsurance!$T$8:$T$43,Reinsurance!$G$8:$G$43,Summary!$C$6,Reinsurance!$S$8:$S$43,$I48)</f>
        <v>0</v>
      </c>
      <c r="N48" s="105"/>
      <c r="P48" s="13">
        <f t="shared" si="2"/>
        <v>0</v>
      </c>
    </row>
    <row r="49" spans="2:16">
      <c r="B49" s="4"/>
      <c r="C49" s="13"/>
      <c r="D49" s="4"/>
      <c r="E49" s="13"/>
      <c r="F49" s="13"/>
      <c r="G49" s="105"/>
      <c r="I49" s="4"/>
      <c r="J49" s="13"/>
      <c r="K49" s="4"/>
      <c r="L49" s="13"/>
      <c r="M49" s="13">
        <f>SUMIFS(Reinsurance!$T$8:$T$43,Reinsurance!$G$8:$G$43,Summary!$C$6,Reinsurance!$S$8:$S$43,$I49)</f>
        <v>0</v>
      </c>
      <c r="N49" s="105"/>
      <c r="P49" s="13">
        <f t="shared" si="2"/>
        <v>0</v>
      </c>
    </row>
    <row r="50" spans="2:16">
      <c r="B50" s="4"/>
      <c r="C50" s="13"/>
      <c r="D50" s="4"/>
      <c r="E50" s="13"/>
      <c r="F50" s="13"/>
      <c r="G50" s="105"/>
      <c r="I50" s="4"/>
      <c r="J50" s="13"/>
      <c r="K50" s="4"/>
      <c r="L50" s="13"/>
      <c r="M50" s="13">
        <f>SUMIFS(Reinsurance!$T$8:$T$43,Reinsurance!$G$8:$G$43,Summary!$C$6,Reinsurance!$S$8:$S$43,$I50)</f>
        <v>0</v>
      </c>
      <c r="N50" s="105"/>
      <c r="P50" s="13">
        <f t="shared" si="2"/>
        <v>0</v>
      </c>
    </row>
    <row r="51" spans="2:16">
      <c r="B51" s="4"/>
      <c r="C51" s="13"/>
      <c r="D51" s="4"/>
      <c r="E51" s="13"/>
      <c r="F51" s="13"/>
      <c r="G51" s="105"/>
      <c r="I51" s="4"/>
      <c r="J51" s="13"/>
      <c r="K51" s="4"/>
      <c r="L51" s="13"/>
      <c r="M51" s="13">
        <f>SUMIFS(Reinsurance!$T$8:$T$43,Reinsurance!$G$8:$G$43,Summary!$C$6,Reinsurance!$S$8:$S$43,$I51)</f>
        <v>0</v>
      </c>
      <c r="N51" s="105"/>
      <c r="P51" s="13">
        <f t="shared" si="2"/>
        <v>0</v>
      </c>
    </row>
    <row r="52" spans="2:16">
      <c r="B52" s="4"/>
      <c r="C52" s="13"/>
      <c r="D52" s="4"/>
      <c r="E52" s="13"/>
      <c r="F52" s="13"/>
      <c r="G52" s="105"/>
      <c r="I52" s="4"/>
      <c r="J52" s="13"/>
      <c r="K52" s="4"/>
      <c r="L52" s="13"/>
      <c r="M52" s="13">
        <f>SUMIFS(Reinsurance!$T$8:$T$43,Reinsurance!$G$8:$G$43,Summary!$C$6,Reinsurance!$S$8:$S$43,$I52)</f>
        <v>0</v>
      </c>
      <c r="N52" s="105"/>
      <c r="P52" s="13">
        <f t="shared" si="2"/>
        <v>0</v>
      </c>
    </row>
    <row r="53" spans="2:16">
      <c r="B53" s="7"/>
      <c r="C53" s="62"/>
      <c r="D53" s="7"/>
      <c r="E53" s="62"/>
      <c r="F53" s="62"/>
      <c r="G53" s="105"/>
      <c r="I53" s="7"/>
      <c r="J53" s="62"/>
      <c r="K53" s="7"/>
      <c r="L53" s="62"/>
      <c r="M53" s="62">
        <f>SUMIFS(Reinsurance!$T$8:$T$43,Reinsurance!$G$8:$G$43,Summary!$C$6,Reinsurance!$S$8:$S$43,$I53)</f>
        <v>0</v>
      </c>
      <c r="N53" s="105"/>
      <c r="P53" s="62">
        <f t="shared" si="2"/>
        <v>0</v>
      </c>
    </row>
    <row r="54" spans="2:16">
      <c r="C54" s="105"/>
      <c r="E54" s="105"/>
      <c r="F54" s="105"/>
      <c r="G54" s="105"/>
      <c r="J54" s="105"/>
      <c r="L54" s="105"/>
      <c r="M54" s="105"/>
      <c r="N54" s="105"/>
    </row>
    <row r="55" spans="2:16">
      <c r="C55" s="105"/>
      <c r="E55" s="105"/>
      <c r="F55" s="105"/>
      <c r="G55" s="105"/>
      <c r="J55" s="105"/>
      <c r="L55" s="105"/>
      <c r="M55" s="105"/>
      <c r="N55" s="105"/>
    </row>
    <row r="56" spans="2:16">
      <c r="B56" s="14" t="s">
        <v>470</v>
      </c>
      <c r="I56" s="14"/>
    </row>
    <row r="59" spans="2:16">
      <c r="B59" s="95" t="s">
        <v>407</v>
      </c>
      <c r="C59" s="95" t="s">
        <v>466</v>
      </c>
      <c r="D59" s="85" t="s">
        <v>459</v>
      </c>
      <c r="E59" s="85" t="s">
        <v>456</v>
      </c>
      <c r="F59" s="85" t="s">
        <v>460</v>
      </c>
      <c r="G59" s="85" t="s">
        <v>458</v>
      </c>
      <c r="I59" s="95" t="s">
        <v>407</v>
      </c>
      <c r="J59" s="95" t="s">
        <v>466</v>
      </c>
      <c r="K59" s="85" t="s">
        <v>459</v>
      </c>
      <c r="L59" s="85" t="s">
        <v>456</v>
      </c>
      <c r="M59" s="85" t="s">
        <v>460</v>
      </c>
      <c r="N59" s="85" t="s">
        <v>458</v>
      </c>
      <c r="P59" s="101" t="s">
        <v>488</v>
      </c>
    </row>
    <row r="60" spans="2:16">
      <c r="B60" s="3" t="e" cm="1">
        <f t="array" ref="B60">_xlfn.LET(_xlpm.dat,_xlfn._xlws.FILTER('Reinsurance Calculation'!$C$146:$H$160,_xlfn.ANCHORARRAY('Reinsurance Calculation'!E146)&lt;&gt;0),_xlpm.sort_1,INDEX(_xlpm.dat,0,1),_xlpm.sort_2,INDEX(_xlpm.dat,0,2),_xlfn.SORTBY(_xlpm.dat,_xlpm.sort_1,1,_xlpm.sort_2,1))</f>
        <v>#VALUE!</v>
      </c>
      <c r="C60" s="3"/>
      <c r="D60" s="12"/>
      <c r="E60" s="12"/>
      <c r="F60" s="12"/>
      <c r="G60" s="12"/>
      <c r="I60" s="3" t="str" cm="1">
        <f t="array" ref="I60:J71">_xlfn._xlws.SORT(_xlfn.UNIQUE(_xlfn._xlws.FILTER(Reinsurance!$H$8:$I$43,(Reinsurance!$G$8:$G$43=Summary!$C$6))))</f>
        <v>later_prop</v>
      </c>
      <c r="J60" s="3" t="str">
        <v>motor</v>
      </c>
      <c r="K60" s="12">
        <f>SUMIFS(Reinsurance!K$8:K$43,Reinsurance!$G$8:$G$43,Summary!$C$6,Reinsurance!$H$8:$H$43,$I60,Reinsurance!$I$8:$I$43,$J60)</f>
        <v>1489144.1020898852</v>
      </c>
      <c r="L60" s="12">
        <f>SUMIFS(Reinsurance!L$8:L$43,Reinsurance!$G$8:$G$43,Summary!$C$6,Reinsurance!$H$8:$H$43,$I60,Reinsurance!$I$8:$I$43,$J60)</f>
        <v>1489144.1020898852</v>
      </c>
      <c r="M60" s="12">
        <f>SUMIFS(Reinsurance!M$8:M$43,Reinsurance!$G$8:$G$43,Summary!$C$6,Reinsurance!$H$8:$H$43,$I60,Reinsurance!$I$8:$I$43,$J60)</f>
        <v>0</v>
      </c>
      <c r="N60" s="12">
        <f>SUMIFS(Reinsurance!N$8:N$43,Reinsurance!$G$8:$G$43,Summary!$C$6,Reinsurance!$H$8:$H$43,$I60,Reinsurance!$I$8:$I$43,$J60)</f>
        <v>1489144.1020898852</v>
      </c>
      <c r="P60" s="12">
        <f>K60-D60</f>
        <v>1489144.1020898852</v>
      </c>
    </row>
    <row r="61" spans="2:16">
      <c r="B61" s="4"/>
      <c r="C61" s="4"/>
      <c r="D61" s="13"/>
      <c r="E61" s="13"/>
      <c r="F61" s="13"/>
      <c r="G61" s="13"/>
      <c r="I61" s="4" t="str">
        <v>prop</v>
      </c>
      <c r="J61" s="4" t="str">
        <v>property</v>
      </c>
      <c r="K61" s="13">
        <f>SUMIFS(Reinsurance!K$8:K$43,Reinsurance!$G$8:$G$43,Summary!$C$6,Reinsurance!$H$8:$H$43,$I61,Reinsurance!$I$8:$I$43,$J61)</f>
        <v>40923479.331335589</v>
      </c>
      <c r="L61" s="13">
        <f>SUMIFS(Reinsurance!L$8:L$43,Reinsurance!$G$8:$G$43,Summary!$C$6,Reinsurance!$H$8:$H$43,$I61,Reinsurance!$I$8:$I$43,$J61)</f>
        <v>38877305.364768803</v>
      </c>
      <c r="M61" s="13">
        <f>SUMIFS(Reinsurance!M$8:M$43,Reinsurance!$G$8:$G$43,Summary!$C$6,Reinsurance!$H$8:$H$43,$I61,Reinsurance!$I$8:$I$43,$J61)</f>
        <v>0</v>
      </c>
      <c r="N61" s="13">
        <f>SUMIFS(Reinsurance!N$8:N$43,Reinsurance!$G$8:$G$43,Summary!$C$6,Reinsurance!$H$8:$H$43,$I61,Reinsurance!$I$8:$I$43,$J61)</f>
        <v>38877305.364768803</v>
      </c>
      <c r="P61" s="13">
        <f t="shared" ref="P61:P74" si="3">K61-D61</f>
        <v>40923479.331335589</v>
      </c>
    </row>
    <row r="62" spans="2:16">
      <c r="B62" s="4"/>
      <c r="C62" s="4"/>
      <c r="D62" s="13"/>
      <c r="E62" s="13"/>
      <c r="F62" s="13"/>
      <c r="G62" s="13"/>
      <c r="I62" s="4" t="str">
        <v>xol_1</v>
      </c>
      <c r="J62" s="4" t="str">
        <v>motor</v>
      </c>
      <c r="K62" s="13">
        <f>SUMIFS(Reinsurance!K$8:K$43,Reinsurance!$G$8:$G$43,Summary!$C$6,Reinsurance!$H$8:$H$43,$I62,Reinsurance!$I$8:$I$43,$J62)</f>
        <v>4254697.4345425265</v>
      </c>
      <c r="L62" s="13">
        <f>SUMIFS(Reinsurance!L$8:L$43,Reinsurance!$G$8:$G$43,Summary!$C$6,Reinsurance!$H$8:$H$43,$I62,Reinsurance!$I$8:$I$43,$J62)</f>
        <v>3403757.9476340208</v>
      </c>
      <c r="M62" s="13">
        <f>SUMIFS(Reinsurance!M$8:M$43,Reinsurance!$G$8:$G$43,Summary!$C$6,Reinsurance!$H$8:$H$43,$I62,Reinsurance!$I$8:$I$43,$J62)</f>
        <v>1021127.3842902062</v>
      </c>
      <c r="N62" s="13">
        <f>SUMIFS(Reinsurance!N$8:N$43,Reinsurance!$G$8:$G$43,Summary!$C$6,Reinsurance!$H$8:$H$43,$I62,Reinsurance!$I$8:$I$43,$J62)</f>
        <v>2382630.5633438146</v>
      </c>
      <c r="P62" s="13">
        <f t="shared" si="3"/>
        <v>4254697.4345425265</v>
      </c>
    </row>
    <row r="63" spans="2:16">
      <c r="B63" s="4"/>
      <c r="C63" s="4"/>
      <c r="D63" s="13"/>
      <c r="E63" s="13"/>
      <c r="F63" s="13"/>
      <c r="G63" s="13"/>
      <c r="I63" s="4" t="str">
        <v>xol_1</v>
      </c>
      <c r="J63" s="4" t="str">
        <v>property</v>
      </c>
      <c r="K63" s="13">
        <f>SUMIFS(Reinsurance!K$8:K$43,Reinsurance!$G$8:$G$43,Summary!$C$6,Reinsurance!$H$8:$H$43,$I63,Reinsurance!$I$8:$I$43,$J63)</f>
        <v>3745302.565457474</v>
      </c>
      <c r="L63" s="13">
        <f>SUMIFS(Reinsurance!L$8:L$43,Reinsurance!$G$8:$G$43,Summary!$C$6,Reinsurance!$H$8:$H$43,$I63,Reinsurance!$I$8:$I$43,$J63)</f>
        <v>2996242.0523659792</v>
      </c>
      <c r="M63" s="13">
        <f>SUMIFS(Reinsurance!M$8:M$43,Reinsurance!$G$8:$G$43,Summary!$C$6,Reinsurance!$H$8:$H$43,$I63,Reinsurance!$I$8:$I$43,$J63)</f>
        <v>898872.61570979375</v>
      </c>
      <c r="N63" s="13">
        <f>SUMIFS(Reinsurance!N$8:N$43,Reinsurance!$G$8:$G$43,Summary!$C$6,Reinsurance!$H$8:$H$43,$I63,Reinsurance!$I$8:$I$43,$J63)</f>
        <v>2097369.4366561854</v>
      </c>
      <c r="P63" s="13">
        <f t="shared" si="3"/>
        <v>3745302.565457474</v>
      </c>
    </row>
    <row r="64" spans="2:16">
      <c r="B64" s="4"/>
      <c r="C64" s="4"/>
      <c r="D64" s="13"/>
      <c r="E64" s="13"/>
      <c r="F64" s="13"/>
      <c r="G64" s="13"/>
      <c r="I64" s="4" t="str">
        <v>xol_2</v>
      </c>
      <c r="J64" s="4" t="str">
        <v>motor</v>
      </c>
      <c r="K64" s="13">
        <f>SUMIFS(Reinsurance!K$8:K$43,Reinsurance!$G$8:$G$43,Summary!$C$6,Reinsurance!$H$8:$H$43,$I64,Reinsurance!$I$8:$I$43,$J64)</f>
        <v>2549808.2674845597</v>
      </c>
      <c r="L64" s="13">
        <f>SUMIFS(Reinsurance!L$8:L$43,Reinsurance!$G$8:$G$43,Summary!$C$6,Reinsurance!$H$8:$H$43,$I64,Reinsurance!$I$8:$I$43,$J64)</f>
        <v>2549808.2674845597</v>
      </c>
      <c r="M64" s="13">
        <f>SUMIFS(Reinsurance!M$8:M$43,Reinsurance!$G$8:$G$43,Summary!$C$6,Reinsurance!$H$8:$H$43,$I64,Reinsurance!$I$8:$I$43,$J64)</f>
        <v>509961.65349691204</v>
      </c>
      <c r="N64" s="13">
        <f>SUMIFS(Reinsurance!N$8:N$43,Reinsurance!$G$8:$G$43,Summary!$C$6,Reinsurance!$H$8:$H$43,$I64,Reinsurance!$I$8:$I$43,$J64)</f>
        <v>2039846.6139876479</v>
      </c>
      <c r="P64" s="13">
        <f t="shared" si="3"/>
        <v>2549808.2674845597</v>
      </c>
    </row>
    <row r="65" spans="2:16">
      <c r="B65" s="4"/>
      <c r="C65" s="4"/>
      <c r="D65" s="13"/>
      <c r="E65" s="13"/>
      <c r="F65" s="13"/>
      <c r="G65" s="13"/>
      <c r="I65" s="4" t="str">
        <v>xol_2</v>
      </c>
      <c r="J65" s="4" t="str">
        <v>property</v>
      </c>
      <c r="K65" s="13">
        <f>SUMIFS(Reinsurance!K$8:K$43,Reinsurance!$G$8:$G$43,Summary!$C$6,Reinsurance!$H$8:$H$43,$I65,Reinsurance!$I$8:$I$43,$J65)</f>
        <v>2015078.6246387258</v>
      </c>
      <c r="L65" s="13">
        <f>SUMIFS(Reinsurance!L$8:L$43,Reinsurance!$G$8:$G$43,Summary!$C$6,Reinsurance!$H$8:$H$43,$I65,Reinsurance!$I$8:$I$43,$J65)</f>
        <v>2015078.6246387258</v>
      </c>
      <c r="M65" s="13">
        <f>SUMIFS(Reinsurance!M$8:M$43,Reinsurance!$G$8:$G$43,Summary!$C$6,Reinsurance!$H$8:$H$43,$I65,Reinsurance!$I$8:$I$43,$J65)</f>
        <v>403015.72492774512</v>
      </c>
      <c r="N65" s="13">
        <f>SUMIFS(Reinsurance!N$8:N$43,Reinsurance!$G$8:$G$43,Summary!$C$6,Reinsurance!$H$8:$H$43,$I65,Reinsurance!$I$8:$I$43,$J65)</f>
        <v>1612062.8997109805</v>
      </c>
      <c r="P65" s="13">
        <f t="shared" si="3"/>
        <v>2015078.6246387258</v>
      </c>
    </row>
    <row r="66" spans="2:16">
      <c r="B66" s="4"/>
      <c r="C66" s="4"/>
      <c r="D66" s="13"/>
      <c r="E66" s="13"/>
      <c r="F66" s="13"/>
      <c r="G66" s="13"/>
      <c r="I66" s="4" t="str">
        <v>xol_3</v>
      </c>
      <c r="J66" s="4" t="str">
        <v>motor</v>
      </c>
      <c r="K66" s="13">
        <f>SUMIFS(Reinsurance!K$8:K$43,Reinsurance!$G$8:$G$43,Summary!$C$6,Reinsurance!$H$8:$H$43,$I66,Reinsurance!$I$8:$I$43,$J66)</f>
        <v>5673619.7720380761</v>
      </c>
      <c r="L66" s="13">
        <f>SUMIFS(Reinsurance!L$8:L$43,Reinsurance!$G$8:$G$43,Summary!$C$6,Reinsurance!$H$8:$H$43,$I66,Reinsurance!$I$8:$I$43,$J66)</f>
        <v>5673619.7720380761</v>
      </c>
      <c r="M66" s="13">
        <f>SUMIFS(Reinsurance!M$8:M$43,Reinsurance!$G$8:$G$43,Summary!$C$6,Reinsurance!$H$8:$H$43,$I66,Reinsurance!$I$8:$I$43,$J66)</f>
        <v>567361.97720380756</v>
      </c>
      <c r="N66" s="13">
        <f>SUMIFS(Reinsurance!N$8:N$43,Reinsurance!$G$8:$G$43,Summary!$C$6,Reinsurance!$H$8:$H$43,$I66,Reinsurance!$I$8:$I$43,$J66)</f>
        <v>5106257.7948342683</v>
      </c>
      <c r="P66" s="13">
        <f t="shared" si="3"/>
        <v>5673619.7720380761</v>
      </c>
    </row>
    <row r="67" spans="2:16">
      <c r="B67" s="4"/>
      <c r="C67" s="4"/>
      <c r="D67" s="13"/>
      <c r="E67" s="13"/>
      <c r="F67" s="13"/>
      <c r="G67" s="13"/>
      <c r="I67" s="4" t="str">
        <v>xol_3</v>
      </c>
      <c r="J67" s="4" t="str">
        <v>property</v>
      </c>
      <c r="K67" s="13">
        <f>SUMIFS(Reinsurance!K$8:K$43,Reinsurance!$G$8:$G$43,Summary!$C$6,Reinsurance!$H$8:$H$43,$I67,Reinsurance!$I$8:$I$43,$J67)</f>
        <v>4326380.2279619239</v>
      </c>
      <c r="L67" s="13">
        <f>SUMIFS(Reinsurance!L$8:L$43,Reinsurance!$G$8:$G$43,Summary!$C$6,Reinsurance!$H$8:$H$43,$I67,Reinsurance!$I$8:$I$43,$J67)</f>
        <v>4326380.2279619239</v>
      </c>
      <c r="M67" s="13">
        <f>SUMIFS(Reinsurance!M$8:M$43,Reinsurance!$G$8:$G$43,Summary!$C$6,Reinsurance!$H$8:$H$43,$I67,Reinsurance!$I$8:$I$43,$J67)</f>
        <v>432638.02279619244</v>
      </c>
      <c r="N67" s="13">
        <f>SUMIFS(Reinsurance!N$8:N$43,Reinsurance!$G$8:$G$43,Summary!$C$6,Reinsurance!$H$8:$H$43,$I67,Reinsurance!$I$8:$I$43,$J67)</f>
        <v>3893742.2051657317</v>
      </c>
      <c r="P67" s="13">
        <f t="shared" si="3"/>
        <v>4326380.2279619239</v>
      </c>
    </row>
    <row r="68" spans="2:16">
      <c r="B68" s="4"/>
      <c r="C68" s="4"/>
      <c r="D68" s="13"/>
      <c r="E68" s="13"/>
      <c r="F68" s="13"/>
      <c r="G68" s="13"/>
      <c r="I68" s="4" t="str">
        <v>xol_4</v>
      </c>
      <c r="J68" s="4" t="str">
        <v>motor</v>
      </c>
      <c r="K68" s="13">
        <f>SUMIFS(Reinsurance!K$8:K$43,Reinsurance!$G$8:$G$43,Summary!$C$6,Reinsurance!$H$8:$H$43,$I68,Reinsurance!$I$8:$I$43,$J68)</f>
        <v>11347239.544076152</v>
      </c>
      <c r="L68" s="13">
        <f>SUMIFS(Reinsurance!L$8:L$43,Reinsurance!$G$8:$G$43,Summary!$C$6,Reinsurance!$H$8:$H$43,$I68,Reinsurance!$I$8:$I$43,$J68)</f>
        <v>11347239.544076152</v>
      </c>
      <c r="M68" s="13">
        <f>SUMIFS(Reinsurance!M$8:M$43,Reinsurance!$G$8:$G$43,Summary!$C$6,Reinsurance!$H$8:$H$43,$I68,Reinsurance!$I$8:$I$43,$J68)</f>
        <v>319205.78648789524</v>
      </c>
      <c r="N68" s="13">
        <f>SUMIFS(Reinsurance!N$8:N$43,Reinsurance!$G$8:$G$43,Summary!$C$6,Reinsurance!$H$8:$H$43,$I68,Reinsurance!$I$8:$I$43,$J68)</f>
        <v>11028033.757588256</v>
      </c>
      <c r="P68" s="13">
        <f t="shared" si="3"/>
        <v>11347239.544076152</v>
      </c>
    </row>
    <row r="69" spans="2:16">
      <c r="B69" s="4"/>
      <c r="C69" s="4"/>
      <c r="D69" s="13"/>
      <c r="E69" s="13"/>
      <c r="F69" s="13"/>
      <c r="G69" s="13"/>
      <c r="I69" s="4" t="str">
        <v>xol_4</v>
      </c>
      <c r="J69" s="4" t="str">
        <v>property</v>
      </c>
      <c r="K69" s="13">
        <f>SUMIFS(Reinsurance!K$8:K$43,Reinsurance!$G$8:$G$43,Summary!$C$6,Reinsurance!$H$8:$H$43,$I69,Reinsurance!$I$8:$I$43,$J69)</f>
        <v>8652760.4559238479</v>
      </c>
      <c r="L69" s="13">
        <f>SUMIFS(Reinsurance!L$8:L$43,Reinsurance!$G$8:$G$43,Summary!$C$6,Reinsurance!$H$8:$H$43,$I69,Reinsurance!$I$8:$I$43,$J69)</f>
        <v>8652760.4559238479</v>
      </c>
      <c r="M69" s="13">
        <f>SUMIFS(Reinsurance!M$8:M$43,Reinsurance!$G$8:$G$43,Summary!$C$6,Reinsurance!$H$8:$H$43,$I69,Reinsurance!$I$8:$I$43,$J69)</f>
        <v>180794.21351210476</v>
      </c>
      <c r="N69" s="13">
        <f>SUMIFS(Reinsurance!N$8:N$43,Reinsurance!$G$8:$G$43,Summary!$C$6,Reinsurance!$H$8:$H$43,$I69,Reinsurance!$I$8:$I$43,$J69)</f>
        <v>8471966.2424117438</v>
      </c>
      <c r="P69" s="13">
        <f t="shared" si="3"/>
        <v>8652760.4559238479</v>
      </c>
    </row>
    <row r="70" spans="2:16">
      <c r="B70" s="4"/>
      <c r="C70" s="4"/>
      <c r="D70" s="13"/>
      <c r="E70" s="13"/>
      <c r="F70" s="13"/>
      <c r="G70" s="13"/>
      <c r="I70" s="4" t="str">
        <v>xol_5</v>
      </c>
      <c r="J70" s="4" t="str">
        <v>motor</v>
      </c>
      <c r="K70" s="13">
        <f>SUMIFS(Reinsurance!K$8:K$43,Reinsurance!$G$8:$G$43,Summary!$C$6,Reinsurance!$H$8:$H$43,$I70,Reinsurance!$I$8:$I$43,$J70)</f>
        <v>11347239.544076152</v>
      </c>
      <c r="L70" s="13">
        <f>SUMIFS(Reinsurance!L$8:L$43,Reinsurance!$G$8:$G$43,Summary!$C$6,Reinsurance!$H$8:$H$43,$I70,Reinsurance!$I$8:$I$43,$J70)</f>
        <v>11347239.544076152</v>
      </c>
      <c r="M70" s="13">
        <f>SUMIFS(Reinsurance!M$8:M$43,Reinsurance!$G$8:$G$43,Summary!$C$6,Reinsurance!$H$8:$H$43,$I70,Reinsurance!$I$8:$I$43,$J70)</f>
        <v>63841.157297579048</v>
      </c>
      <c r="N70" s="13">
        <f>SUMIFS(Reinsurance!N$8:N$43,Reinsurance!$G$8:$G$43,Summary!$C$6,Reinsurance!$H$8:$H$43,$I70,Reinsurance!$I$8:$I$43,$J70)</f>
        <v>11283398.386778573</v>
      </c>
      <c r="P70" s="13">
        <f t="shared" si="3"/>
        <v>11347239.544076152</v>
      </c>
    </row>
    <row r="71" spans="2:16">
      <c r="B71" s="4"/>
      <c r="C71" s="4"/>
      <c r="D71" s="13"/>
      <c r="E71" s="13"/>
      <c r="F71" s="13"/>
      <c r="G71" s="13"/>
      <c r="I71" s="4" t="str">
        <v>xol_5</v>
      </c>
      <c r="J71" s="4" t="str">
        <v>property</v>
      </c>
      <c r="K71" s="13">
        <f>SUMIFS(Reinsurance!K$8:K$43,Reinsurance!$G$8:$G$43,Summary!$C$6,Reinsurance!$H$8:$H$43,$I71,Reinsurance!$I$8:$I$43,$J71)</f>
        <v>8652760.4559238479</v>
      </c>
      <c r="L71" s="13">
        <f>SUMIFS(Reinsurance!L$8:L$43,Reinsurance!$G$8:$G$43,Summary!$C$6,Reinsurance!$H$8:$H$43,$I71,Reinsurance!$I$8:$I$43,$J71)</f>
        <v>8652760.4559238479</v>
      </c>
      <c r="M71" s="13">
        <f>SUMIFS(Reinsurance!M$8:M$43,Reinsurance!$G$8:$G$43,Summary!$C$6,Reinsurance!$H$8:$H$43,$I71,Reinsurance!$I$8:$I$43,$J71)</f>
        <v>36158.842702420952</v>
      </c>
      <c r="N71" s="13">
        <f>SUMIFS(Reinsurance!N$8:N$43,Reinsurance!$G$8:$G$43,Summary!$C$6,Reinsurance!$H$8:$H$43,$I71,Reinsurance!$I$8:$I$43,$J71)</f>
        <v>8616601.6132214274</v>
      </c>
      <c r="P71" s="13">
        <f t="shared" si="3"/>
        <v>8652760.4559238479</v>
      </c>
    </row>
    <row r="72" spans="2:16">
      <c r="B72" s="4"/>
      <c r="C72" s="4"/>
      <c r="D72" s="13"/>
      <c r="E72" s="13"/>
      <c r="F72" s="13"/>
      <c r="G72" s="13"/>
      <c r="I72" s="4"/>
      <c r="J72" s="4"/>
      <c r="K72" s="13">
        <f>SUMIFS(Reinsurance!K$8:K$43,Reinsurance!$G$8:$G$43,Summary!$C$6,Reinsurance!$H$8:$H$43,$I72,Reinsurance!$I$8:$I$43,$J72)</f>
        <v>0</v>
      </c>
      <c r="L72" s="13">
        <f>SUMIFS(Reinsurance!L$8:L$43,Reinsurance!$G$8:$G$43,Summary!$C$6,Reinsurance!$H$8:$H$43,$I72,Reinsurance!$I$8:$I$43,$J72)</f>
        <v>0</v>
      </c>
      <c r="M72" s="13">
        <f>SUMIFS(Reinsurance!M$8:M$43,Reinsurance!$G$8:$G$43,Summary!$C$6,Reinsurance!$H$8:$H$43,$I72,Reinsurance!$I$8:$I$43,$J72)</f>
        <v>0</v>
      </c>
      <c r="N72" s="13">
        <f>SUMIFS(Reinsurance!N$8:N$43,Reinsurance!$G$8:$G$43,Summary!$C$6,Reinsurance!$H$8:$H$43,$I72,Reinsurance!$I$8:$I$43,$J72)</f>
        <v>0</v>
      </c>
      <c r="P72" s="13">
        <f t="shared" si="3"/>
        <v>0</v>
      </c>
    </row>
    <row r="73" spans="2:16">
      <c r="B73" s="4"/>
      <c r="C73" s="4"/>
      <c r="D73" s="13"/>
      <c r="E73" s="13"/>
      <c r="F73" s="13"/>
      <c r="G73" s="13"/>
      <c r="I73" s="4"/>
      <c r="J73" s="4"/>
      <c r="K73" s="13">
        <f>SUMIFS(Reinsurance!K$8:K$43,Reinsurance!$G$8:$G$43,Summary!$C$6,Reinsurance!$H$8:$H$43,$I73,Reinsurance!$I$8:$I$43,$J73)</f>
        <v>0</v>
      </c>
      <c r="L73" s="13">
        <f>SUMIFS(Reinsurance!L$8:L$43,Reinsurance!$G$8:$G$43,Summary!$C$6,Reinsurance!$H$8:$H$43,$I73,Reinsurance!$I$8:$I$43,$J73)</f>
        <v>0</v>
      </c>
      <c r="M73" s="13">
        <f>SUMIFS(Reinsurance!M$8:M$43,Reinsurance!$G$8:$G$43,Summary!$C$6,Reinsurance!$H$8:$H$43,$I73,Reinsurance!$I$8:$I$43,$J73)</f>
        <v>0</v>
      </c>
      <c r="N73" s="13">
        <f>SUMIFS(Reinsurance!N$8:N$43,Reinsurance!$G$8:$G$43,Summary!$C$6,Reinsurance!$H$8:$H$43,$I73,Reinsurance!$I$8:$I$43,$J73)</f>
        <v>0</v>
      </c>
      <c r="P73" s="13">
        <f t="shared" si="3"/>
        <v>0</v>
      </c>
    </row>
    <row r="74" spans="2:16">
      <c r="B74" s="7"/>
      <c r="C74" s="7"/>
      <c r="D74" s="62"/>
      <c r="E74" s="62"/>
      <c r="F74" s="62"/>
      <c r="G74" s="62"/>
      <c r="I74" s="7"/>
      <c r="J74" s="7"/>
      <c r="K74" s="62">
        <f>SUMIFS(Reinsurance!K$8:K$43,Reinsurance!$G$8:$G$43,Summary!$C$6,Reinsurance!$H$8:$H$43,$I74,Reinsurance!$I$8:$I$43,$J74)</f>
        <v>0</v>
      </c>
      <c r="L74" s="62">
        <f>SUMIFS(Reinsurance!L$8:L$43,Reinsurance!$G$8:$G$43,Summary!$C$6,Reinsurance!$H$8:$H$43,$I74,Reinsurance!$I$8:$I$43,$J74)</f>
        <v>0</v>
      </c>
      <c r="M74" s="62">
        <f>SUMIFS(Reinsurance!M$8:M$43,Reinsurance!$G$8:$G$43,Summary!$C$6,Reinsurance!$H$8:$H$43,$I74,Reinsurance!$I$8:$I$43,$J74)</f>
        <v>0</v>
      </c>
      <c r="N74" s="62">
        <f>SUMIFS(Reinsurance!N$8:N$43,Reinsurance!$G$8:$G$43,Summary!$C$6,Reinsurance!$H$8:$H$43,$I74,Reinsurance!$I$8:$I$43,$J74)</f>
        <v>0</v>
      </c>
      <c r="P74" s="62">
        <f t="shared" si="3"/>
        <v>0</v>
      </c>
    </row>
    <row r="77" spans="2:16">
      <c r="B77" s="14" t="s">
        <v>479</v>
      </c>
    </row>
    <row r="80" spans="2:16">
      <c r="B80" s="85" t="s">
        <v>476</v>
      </c>
      <c r="C80" s="85" t="s">
        <v>459</v>
      </c>
      <c r="D80" s="85" t="s">
        <v>456</v>
      </c>
      <c r="E80" s="85" t="s">
        <v>460</v>
      </c>
      <c r="F80" s="85" t="s">
        <v>458</v>
      </c>
      <c r="I80" s="85" t="s">
        <v>476</v>
      </c>
      <c r="J80" s="85" t="s">
        <v>459</v>
      </c>
      <c r="K80" s="85" t="s">
        <v>456</v>
      </c>
      <c r="L80" s="85" t="s">
        <v>460</v>
      </c>
      <c r="M80" s="85" t="s">
        <v>458</v>
      </c>
    </row>
    <row r="81" spans="2:13">
      <c r="B81" s="3" t="str" cm="1">
        <f t="array" ref="B81:F84">'Reinsurance Calculation'!$C$167:$G$170</f>
        <v>Contract</v>
      </c>
      <c r="C81" s="12">
        <v>118890420.49543321</v>
      </c>
      <c r="D81" s="12">
        <v>115241246.52886643</v>
      </c>
      <c r="E81" s="12">
        <v>4720000</v>
      </c>
      <c r="F81" s="12">
        <v>110521246.52886643</v>
      </c>
      <c r="I81" s="3" t="s">
        <v>473</v>
      </c>
      <c r="J81" s="12">
        <f>SUM(J14:J21)</f>
        <v>104977510.32554875</v>
      </c>
      <c r="K81" s="12">
        <f t="shared" ref="K81:M81" si="4">SUM(K14:K21)</f>
        <v>101331336.35898197</v>
      </c>
      <c r="L81" s="12">
        <f t="shared" si="4"/>
        <v>4432977.3784246575</v>
      </c>
      <c r="M81" s="12">
        <f t="shared" si="4"/>
        <v>96898358.980557323</v>
      </c>
    </row>
    <row r="82" spans="2:13">
      <c r="B82" s="4" t="str">
        <v>Event</v>
      </c>
      <c r="C82" s="13">
        <v>118890420.49543321</v>
      </c>
      <c r="D82" s="13">
        <v>115241246.52886641</v>
      </c>
      <c r="E82" s="13">
        <v>4720000</v>
      </c>
      <c r="F82" s="13">
        <v>110521246.52886644</v>
      </c>
      <c r="I82" s="4" t="s">
        <v>474</v>
      </c>
      <c r="J82" s="13">
        <f>SUM(J28:J31)</f>
        <v>104977510.32554877</v>
      </c>
      <c r="K82" s="13">
        <f t="shared" ref="K82:M82" si="5">SUM(K28:K31)</f>
        <v>101331336.35898197</v>
      </c>
      <c r="L82" s="13">
        <f t="shared" si="5"/>
        <v>4432977.3784246575</v>
      </c>
      <c r="M82" s="13">
        <f t="shared" si="5"/>
        <v>96898358.980557308</v>
      </c>
    </row>
    <row r="83" spans="2:13">
      <c r="B83" s="4" t="str">
        <v>Counterparty</v>
      </c>
      <c r="C83" s="13">
        <v>0</v>
      </c>
      <c r="D83" s="13">
        <v>115241246.52886643</v>
      </c>
      <c r="E83" s="13">
        <v>4720000</v>
      </c>
      <c r="F83" s="13">
        <v>110521246.52886643</v>
      </c>
      <c r="I83" s="4" t="s">
        <v>475</v>
      </c>
      <c r="J83" s="98"/>
      <c r="K83" s="98"/>
      <c r="L83" s="98"/>
      <c r="M83" s="13">
        <f>SUM(M38:M53)</f>
        <v>96898358.980557323</v>
      </c>
    </row>
    <row r="84" spans="2:13">
      <c r="B84" s="7" t="str">
        <v>Contract &amp; Structure</v>
      </c>
      <c r="C84" s="62">
        <v>26352529.319149375</v>
      </c>
      <c r="D84" s="62">
        <v>25768904.072901271</v>
      </c>
      <c r="E84" s="62">
        <v>1832741.8048067347</v>
      </c>
      <c r="F84" s="62">
        <v>23936162.268094536</v>
      </c>
      <c r="I84" s="7" t="s">
        <v>481</v>
      </c>
      <c r="J84" s="62">
        <f>SUM(K60:K74)</f>
        <v>104977510.32554877</v>
      </c>
      <c r="K84" s="62">
        <f t="shared" ref="K84:M84" si="6">SUM(L60:L74)</f>
        <v>101331336.358982</v>
      </c>
      <c r="L84" s="62">
        <f t="shared" si="6"/>
        <v>4432977.3784246575</v>
      </c>
      <c r="M84" s="62">
        <f t="shared" si="6"/>
        <v>96898358.980557323</v>
      </c>
    </row>
    <row r="87" spans="2:13">
      <c r="I87" s="101" t="s">
        <v>476</v>
      </c>
      <c r="J87" s="101" t="s">
        <v>459</v>
      </c>
      <c r="K87" s="101" t="s">
        <v>456</v>
      </c>
      <c r="L87" s="101" t="s">
        <v>460</v>
      </c>
      <c r="M87" s="101" t="s">
        <v>458</v>
      </c>
    </row>
    <row r="88" spans="2:13">
      <c r="I88" s="3" t="s">
        <v>473</v>
      </c>
      <c r="J88" s="12">
        <f>ABS(J81-C81)</f>
        <v>13912910.169884458</v>
      </c>
      <c r="K88" s="12">
        <f t="shared" ref="K88:M88" si="7">ABS(K81-D81)</f>
        <v>13909910.169884458</v>
      </c>
      <c r="L88" s="12">
        <f t="shared" si="7"/>
        <v>287022.62157534249</v>
      </c>
      <c r="M88" s="12">
        <f t="shared" si="7"/>
        <v>13622887.548309103</v>
      </c>
    </row>
    <row r="89" spans="2:13">
      <c r="I89" s="4" t="s">
        <v>474</v>
      </c>
      <c r="J89" s="13">
        <f t="shared" ref="J89:M89" si="8">ABS(J82-C82)</f>
        <v>13912910.169884443</v>
      </c>
      <c r="K89" s="13">
        <f t="shared" si="8"/>
        <v>13909910.169884443</v>
      </c>
      <c r="L89" s="13">
        <f t="shared" si="8"/>
        <v>287022.62157534249</v>
      </c>
      <c r="M89" s="13">
        <f t="shared" si="8"/>
        <v>13622887.548309132</v>
      </c>
    </row>
    <row r="90" spans="2:13">
      <c r="I90" s="4" t="s">
        <v>475</v>
      </c>
      <c r="J90" s="98"/>
      <c r="K90" s="98"/>
      <c r="L90" s="98"/>
      <c r="M90" s="13">
        <f>ABS(M83-F83)</f>
        <v>13622887.548309103</v>
      </c>
    </row>
    <row r="91" spans="2:13">
      <c r="I91" s="7" t="s">
        <v>481</v>
      </c>
      <c r="J91" s="62">
        <f t="shared" ref="J91:M91" si="9">ABS(J84-C84)</f>
        <v>78624981.006399393</v>
      </c>
      <c r="K91" s="62">
        <f t="shared" si="9"/>
        <v>75562432.286080718</v>
      </c>
      <c r="L91" s="62">
        <f t="shared" si="9"/>
        <v>2600235.5736179231</v>
      </c>
      <c r="M91" s="62">
        <f t="shared" si="9"/>
        <v>72962196.712462783</v>
      </c>
    </row>
    <row r="93" spans="2:13">
      <c r="I93" s="101" t="s">
        <v>489</v>
      </c>
      <c r="J93" s="116" t="b">
        <f>SUM(J88:M91)&lt;0.01</f>
        <v>0</v>
      </c>
    </row>
    <row r="94" spans="2:13">
      <c r="I94" s="101" t="s">
        <v>489</v>
      </c>
      <c r="J94" s="116" t="b" cm="1">
        <f t="array" ref="J94">SUM(ABS(P14:P21),ABS(P28:P31),ABS(P38:P53),ABS(P60:P74))&lt;0.01</f>
        <v>0</v>
      </c>
    </row>
    <row r="95" spans="2:13">
      <c r="I95" s="101" t="s">
        <v>490</v>
      </c>
      <c r="J95" s="116" t="b">
        <f>AND(J93,J94)</f>
        <v>0</v>
      </c>
    </row>
  </sheetData>
  <mergeCells count="2">
    <mergeCell ref="B8:G8"/>
    <mergeCell ref="I8:N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BF075-7043-4196-8589-88F244730CE7}">
  <sheetPr codeName="Sheet25">
    <tabColor theme="5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4A5E-5ED3-4252-ACF6-D73A848991C4}">
  <sheetPr codeName="wMetadata"/>
  <dimension ref="A1:DH249"/>
  <sheetViews>
    <sheetView showGridLines="0" workbookViewId="0"/>
  </sheetViews>
  <sheetFormatPr defaultRowHeight="14.5"/>
  <cols>
    <col min="1" max="1" width="1.6328125" customWidth="1"/>
    <col min="2" max="13" width="14.453125" customWidth="1"/>
    <col min="16" max="16" width="11.453125" bestFit="1" customWidth="1"/>
  </cols>
  <sheetData>
    <row r="1" spans="1:45">
      <c r="A1" t="str" cm="1">
        <f t="array" aca="1" ref="A1" ca="1">CELL("filename",A1)</f>
        <v>C:\Sync\git_hub\vba_samplicity\[02_magnus_reinsurance.xlsm]metadata</v>
      </c>
    </row>
    <row r="2" spans="1:45">
      <c r="A2" s="14" t="s">
        <v>206</v>
      </c>
    </row>
    <row r="3" spans="1:45">
      <c r="A3" s="14" t="s">
        <v>185</v>
      </c>
    </row>
    <row r="5" spans="1:45">
      <c r="A5" s="26" t="s">
        <v>140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</row>
    <row r="7" spans="1:45">
      <c r="B7" s="37" t="s">
        <v>136</v>
      </c>
    </row>
    <row r="8" spans="1:45">
      <c r="B8" s="37" t="s">
        <v>137</v>
      </c>
    </row>
    <row r="9" spans="1:45">
      <c r="B9" s="37" t="s">
        <v>139</v>
      </c>
    </row>
    <row r="10" spans="1:45">
      <c r="B10" s="37" t="s">
        <v>138</v>
      </c>
    </row>
    <row r="11" spans="1:45">
      <c r="B11" s="37" t="s">
        <v>141</v>
      </c>
    </row>
    <row r="12" spans="1:45">
      <c r="B12" s="37" t="s">
        <v>174</v>
      </c>
    </row>
    <row r="13" spans="1:45">
      <c r="B13" s="37" t="s">
        <v>176</v>
      </c>
    </row>
    <row r="16" spans="1:45">
      <c r="A16" s="26" t="s">
        <v>136</v>
      </c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8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</row>
    <row r="19" spans="2:14">
      <c r="B19" s="1" t="s">
        <v>95</v>
      </c>
      <c r="C19" s="1" t="s">
        <v>82</v>
      </c>
      <c r="D19" s="1" t="s">
        <v>2</v>
      </c>
      <c r="E19" s="1" t="s">
        <v>1</v>
      </c>
      <c r="H19" s="1" t="s">
        <v>95</v>
      </c>
      <c r="I19" s="1" t="s">
        <v>82</v>
      </c>
      <c r="J19" s="1" t="s">
        <v>2</v>
      </c>
      <c r="K19" s="1" t="s">
        <v>1</v>
      </c>
    </row>
    <row r="20" spans="2:14">
      <c r="B20" s="3" t="s">
        <v>105</v>
      </c>
      <c r="C20" s="5">
        <v>1.75</v>
      </c>
      <c r="D20" s="3" t="s">
        <v>83</v>
      </c>
      <c r="E20" s="3" t="s">
        <v>84</v>
      </c>
      <c r="H20" s="3" t="s">
        <v>102</v>
      </c>
      <c r="I20" s="5">
        <v>1.75</v>
      </c>
      <c r="J20" s="3" t="s">
        <v>88</v>
      </c>
      <c r="K20" s="3" t="s">
        <v>79</v>
      </c>
    </row>
    <row r="21" spans="2:14">
      <c r="B21" s="4" t="s">
        <v>106</v>
      </c>
      <c r="C21" s="6">
        <v>1.1299999999999999</v>
      </c>
      <c r="D21" s="4" t="s">
        <v>83</v>
      </c>
      <c r="E21" s="4" t="s">
        <v>84</v>
      </c>
      <c r="H21" s="7" t="s">
        <v>103</v>
      </c>
      <c r="I21" s="8">
        <v>1.1299999999999999</v>
      </c>
      <c r="J21" s="23" t="s">
        <v>101</v>
      </c>
      <c r="K21" s="7" t="s">
        <v>79</v>
      </c>
    </row>
    <row r="22" spans="2:14">
      <c r="B22" s="4" t="s">
        <v>107</v>
      </c>
      <c r="C22" s="6">
        <v>1.2</v>
      </c>
      <c r="D22" s="4" t="s">
        <v>83</v>
      </c>
      <c r="E22" s="4" t="s">
        <v>84</v>
      </c>
    </row>
    <row r="23" spans="2:14">
      <c r="B23" s="4" t="s">
        <v>108</v>
      </c>
      <c r="C23" s="6">
        <v>0.3</v>
      </c>
      <c r="D23" s="4" t="s">
        <v>85</v>
      </c>
      <c r="E23" s="4" t="s">
        <v>84</v>
      </c>
      <c r="N23" s="9"/>
    </row>
    <row r="24" spans="2:14">
      <c r="B24" s="4" t="s">
        <v>109</v>
      </c>
      <c r="C24" s="6">
        <v>1.75</v>
      </c>
      <c r="D24" s="4" t="s">
        <v>83</v>
      </c>
      <c r="E24" s="4" t="s">
        <v>84</v>
      </c>
      <c r="N24" s="9"/>
    </row>
    <row r="25" spans="2:14">
      <c r="B25" s="4" t="s">
        <v>110</v>
      </c>
      <c r="C25" s="6">
        <v>1</v>
      </c>
      <c r="D25" s="4" t="s">
        <v>86</v>
      </c>
      <c r="E25" s="4" t="s">
        <v>20</v>
      </c>
      <c r="N25" s="9"/>
    </row>
    <row r="26" spans="2:14">
      <c r="B26" s="4" t="s">
        <v>111</v>
      </c>
      <c r="C26" s="6">
        <v>1.5</v>
      </c>
      <c r="D26" s="4" t="s">
        <v>58</v>
      </c>
      <c r="E26" s="4" t="s">
        <v>84</v>
      </c>
      <c r="H26" s="10"/>
      <c r="I26" s="11"/>
      <c r="N26" s="9"/>
    </row>
    <row r="27" spans="2:14">
      <c r="B27" s="4" t="s">
        <v>112</v>
      </c>
      <c r="C27" s="6">
        <v>0.8</v>
      </c>
      <c r="D27" s="4" t="s">
        <v>59</v>
      </c>
      <c r="E27" s="4" t="s">
        <v>84</v>
      </c>
      <c r="N27" s="9"/>
    </row>
    <row r="28" spans="2:14">
      <c r="B28" s="4" t="s">
        <v>113</v>
      </c>
      <c r="C28" s="6">
        <v>2</v>
      </c>
      <c r="D28" s="4" t="s">
        <v>55</v>
      </c>
      <c r="E28" s="4" t="s">
        <v>84</v>
      </c>
      <c r="H28" s="11"/>
      <c r="I28" s="11"/>
      <c r="N28" s="9"/>
    </row>
    <row r="29" spans="2:14">
      <c r="B29" s="4" t="s">
        <v>114</v>
      </c>
      <c r="C29" s="6">
        <v>3</v>
      </c>
      <c r="D29" s="4" t="s">
        <v>55</v>
      </c>
      <c r="E29" s="4" t="s">
        <v>84</v>
      </c>
      <c r="N29" s="9"/>
    </row>
    <row r="30" spans="2:14">
      <c r="B30" s="4" t="s">
        <v>115</v>
      </c>
      <c r="C30" s="6">
        <v>0.6</v>
      </c>
      <c r="D30" s="4" t="s">
        <v>57</v>
      </c>
      <c r="E30" s="4" t="s">
        <v>84</v>
      </c>
      <c r="H30" s="24"/>
      <c r="N30" s="9"/>
    </row>
    <row r="31" spans="2:14">
      <c r="B31" s="4" t="s">
        <v>116</v>
      </c>
      <c r="C31" s="6">
        <v>0.85</v>
      </c>
      <c r="D31" s="4" t="s">
        <v>87</v>
      </c>
      <c r="E31" s="4" t="s">
        <v>84</v>
      </c>
      <c r="I31" s="11"/>
      <c r="N31" s="9"/>
    </row>
    <row r="32" spans="2:14">
      <c r="B32" s="4" t="s">
        <v>117</v>
      </c>
      <c r="C32" s="6">
        <v>1.39</v>
      </c>
      <c r="D32" s="4" t="s">
        <v>88</v>
      </c>
      <c r="E32" s="4" t="s">
        <v>84</v>
      </c>
      <c r="N32" s="9"/>
    </row>
    <row r="33" spans="1:45">
      <c r="B33" s="4" t="s">
        <v>118</v>
      </c>
      <c r="C33" s="6">
        <v>0.4</v>
      </c>
      <c r="D33" s="16">
        <v>16</v>
      </c>
      <c r="E33" s="4" t="s">
        <v>84</v>
      </c>
      <c r="N33" s="9"/>
    </row>
    <row r="34" spans="1:45">
      <c r="B34" s="4" t="s">
        <v>119</v>
      </c>
      <c r="C34" s="6">
        <v>2.5</v>
      </c>
      <c r="D34" s="4" t="s">
        <v>89</v>
      </c>
      <c r="E34" s="4" t="s">
        <v>90</v>
      </c>
      <c r="N34" s="9"/>
    </row>
    <row r="35" spans="1:45">
      <c r="B35" s="4" t="s">
        <v>120</v>
      </c>
      <c r="C35" s="6">
        <v>2.5</v>
      </c>
      <c r="D35" s="4" t="s">
        <v>91</v>
      </c>
      <c r="E35" s="4" t="s">
        <v>92</v>
      </c>
      <c r="N35" s="9"/>
    </row>
    <row r="36" spans="1:45">
      <c r="B36" s="4" t="s">
        <v>121</v>
      </c>
      <c r="C36" s="6">
        <v>0.85</v>
      </c>
      <c r="D36" s="4">
        <v>14</v>
      </c>
      <c r="E36" s="4" t="s">
        <v>93</v>
      </c>
      <c r="N36" s="9"/>
    </row>
    <row r="37" spans="1:45">
      <c r="B37" s="7" t="s">
        <v>104</v>
      </c>
      <c r="C37" s="8">
        <v>2.5</v>
      </c>
      <c r="D37" s="7">
        <v>14</v>
      </c>
      <c r="E37" s="7" t="s">
        <v>94</v>
      </c>
      <c r="N37" s="9"/>
    </row>
    <row r="38" spans="1:45">
      <c r="N38" s="9"/>
    </row>
    <row r="40" spans="1:45">
      <c r="A40" s="26" t="s">
        <v>137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</row>
    <row r="43" spans="1:45">
      <c r="C43" s="35" t="s">
        <v>21</v>
      </c>
      <c r="D43" s="35" t="s">
        <v>38</v>
      </c>
      <c r="E43" s="35" t="s">
        <v>39</v>
      </c>
      <c r="F43" s="35" t="s">
        <v>40</v>
      </c>
      <c r="G43" s="35" t="s">
        <v>41</v>
      </c>
      <c r="H43" s="35" t="s">
        <v>42</v>
      </c>
      <c r="I43" s="35" t="s">
        <v>43</v>
      </c>
      <c r="J43" s="35" t="s">
        <v>44</v>
      </c>
      <c r="K43" s="35" t="s">
        <v>45</v>
      </c>
      <c r="L43" s="35" t="s">
        <v>46</v>
      </c>
      <c r="M43" s="35" t="s">
        <v>47</v>
      </c>
      <c r="N43" s="35" t="s">
        <v>48</v>
      </c>
      <c r="O43" s="35" t="s">
        <v>49</v>
      </c>
      <c r="P43" s="35" t="s">
        <v>50</v>
      </c>
      <c r="Q43" s="35" t="s">
        <v>51</v>
      </c>
      <c r="R43" s="35" t="s">
        <v>52</v>
      </c>
      <c r="S43" s="35" t="s">
        <v>53</v>
      </c>
      <c r="T43" s="35">
        <v>9</v>
      </c>
      <c r="U43" s="35" t="s">
        <v>54</v>
      </c>
      <c r="V43" s="35" t="s">
        <v>55</v>
      </c>
      <c r="W43" s="35" t="s">
        <v>56</v>
      </c>
      <c r="X43" s="35" t="s">
        <v>57</v>
      </c>
      <c r="Y43" s="35" t="s">
        <v>58</v>
      </c>
      <c r="Z43" s="35" t="s">
        <v>59</v>
      </c>
      <c r="AA43" s="35" t="s">
        <v>60</v>
      </c>
      <c r="AB43" s="35">
        <v>11</v>
      </c>
      <c r="AC43" s="35">
        <v>12</v>
      </c>
      <c r="AD43" s="35">
        <v>13</v>
      </c>
      <c r="AE43" s="35">
        <v>14</v>
      </c>
      <c r="AF43" s="35">
        <v>15</v>
      </c>
      <c r="AG43" s="35" t="s">
        <v>61</v>
      </c>
      <c r="AH43" s="35" t="s">
        <v>62</v>
      </c>
      <c r="AI43" s="35" t="s">
        <v>63</v>
      </c>
      <c r="AJ43" s="35" t="s">
        <v>64</v>
      </c>
      <c r="AK43" s="35" t="s">
        <v>65</v>
      </c>
      <c r="AL43" s="35" t="s">
        <v>66</v>
      </c>
      <c r="AM43" s="35" t="s">
        <v>67</v>
      </c>
      <c r="AN43" s="35" t="s">
        <v>68</v>
      </c>
      <c r="AO43" s="35" t="s">
        <v>69</v>
      </c>
      <c r="AQ43" s="15" t="s">
        <v>2</v>
      </c>
      <c r="AR43" s="15" t="s">
        <v>70</v>
      </c>
      <c r="AS43" s="15" t="s">
        <v>71</v>
      </c>
    </row>
    <row r="44" spans="1:45">
      <c r="B44" s="2" t="s">
        <v>21</v>
      </c>
      <c r="C44" s="3">
        <v>1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" t="s">
        <v>21</v>
      </c>
      <c r="AR44" s="29">
        <v>6.3E-2</v>
      </c>
      <c r="AS44" s="29">
        <v>0.06</v>
      </c>
    </row>
    <row r="45" spans="1:45">
      <c r="B45" s="2" t="s">
        <v>38</v>
      </c>
      <c r="C45" s="4">
        <v>0.75</v>
      </c>
      <c r="D45" s="4">
        <v>1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Q45" s="4" t="s">
        <v>38</v>
      </c>
      <c r="AR45" s="30">
        <v>7.0000000000000007E-2</v>
      </c>
      <c r="AS45" s="30">
        <v>6.5000000000000002E-2</v>
      </c>
    </row>
    <row r="46" spans="1:45">
      <c r="B46" s="2" t="s">
        <v>39</v>
      </c>
      <c r="C46" s="4">
        <v>0.25</v>
      </c>
      <c r="D46" s="4">
        <v>0.25</v>
      </c>
      <c r="E46" s="4">
        <v>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Q46" s="4" t="s">
        <v>39</v>
      </c>
      <c r="AR46" s="30">
        <v>5.8999999999999997E-2</v>
      </c>
      <c r="AS46" s="30">
        <v>0.11700000000000001</v>
      </c>
    </row>
    <row r="47" spans="1:45">
      <c r="B47" s="2" t="s">
        <v>40</v>
      </c>
      <c r="C47" s="4">
        <v>0.25</v>
      </c>
      <c r="D47" s="4">
        <v>0.25</v>
      </c>
      <c r="E47" s="4">
        <v>0.75</v>
      </c>
      <c r="F47" s="4">
        <v>1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Q47" s="4" t="s">
        <v>40</v>
      </c>
      <c r="AR47" s="30">
        <v>0.13800000000000001</v>
      </c>
      <c r="AS47" s="30">
        <v>0.14499999999999999</v>
      </c>
    </row>
    <row r="48" spans="1:45">
      <c r="B48" s="2" t="s">
        <v>41</v>
      </c>
      <c r="C48" s="4">
        <v>0.25</v>
      </c>
      <c r="D48" s="4">
        <v>0.25</v>
      </c>
      <c r="E48" s="4">
        <v>0.25</v>
      </c>
      <c r="F48" s="4">
        <v>0.25</v>
      </c>
      <c r="G48" s="4">
        <v>1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Q48" s="4" t="s">
        <v>41</v>
      </c>
      <c r="AR48" s="30">
        <v>0.4</v>
      </c>
      <c r="AS48" s="30">
        <v>0.2</v>
      </c>
    </row>
    <row r="49" spans="2:45">
      <c r="B49" s="2" t="s">
        <v>42</v>
      </c>
      <c r="C49" s="4">
        <v>0.25</v>
      </c>
      <c r="D49" s="4">
        <v>0.25</v>
      </c>
      <c r="E49" s="4">
        <v>0.25</v>
      </c>
      <c r="F49" s="4">
        <v>0.25</v>
      </c>
      <c r="G49" s="4">
        <v>0.75</v>
      </c>
      <c r="H49" s="4">
        <v>1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Q49" s="4" t="s">
        <v>42</v>
      </c>
      <c r="AR49" s="30">
        <v>0.1</v>
      </c>
      <c r="AS49" s="30">
        <v>0.09</v>
      </c>
    </row>
    <row r="50" spans="2:45">
      <c r="B50" s="2" t="s">
        <v>43</v>
      </c>
      <c r="C50" s="4">
        <v>0.25</v>
      </c>
      <c r="D50" s="4">
        <v>0.25</v>
      </c>
      <c r="E50" s="4">
        <v>0.25</v>
      </c>
      <c r="F50" s="4">
        <v>0.25</v>
      </c>
      <c r="G50" s="4">
        <v>0.75</v>
      </c>
      <c r="H50" s="4">
        <v>0.75</v>
      </c>
      <c r="I50" s="4">
        <v>1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Q50" s="4" t="s">
        <v>43</v>
      </c>
      <c r="AR50" s="30">
        <v>9.0999999999999998E-2</v>
      </c>
      <c r="AS50" s="30">
        <v>0.23200000000000001</v>
      </c>
    </row>
    <row r="51" spans="2:45">
      <c r="B51" s="2" t="s">
        <v>44</v>
      </c>
      <c r="C51" s="4">
        <v>0.25</v>
      </c>
      <c r="D51" s="4">
        <v>0.25</v>
      </c>
      <c r="E51" s="4">
        <v>0.5</v>
      </c>
      <c r="F51" s="4">
        <v>0.5</v>
      </c>
      <c r="G51" s="4">
        <v>0.25</v>
      </c>
      <c r="H51" s="4">
        <v>0.25</v>
      </c>
      <c r="I51" s="4">
        <v>0.25</v>
      </c>
      <c r="J51" s="4">
        <v>1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Q51" s="4" t="s">
        <v>44</v>
      </c>
      <c r="AR51" s="30">
        <v>0.109</v>
      </c>
      <c r="AS51" s="30">
        <v>0.13500000000000001</v>
      </c>
    </row>
    <row r="52" spans="2:45">
      <c r="B52" s="2" t="s">
        <v>45</v>
      </c>
      <c r="C52" s="4">
        <v>0.25</v>
      </c>
      <c r="D52" s="4">
        <v>0.25</v>
      </c>
      <c r="E52" s="4">
        <v>0.5</v>
      </c>
      <c r="F52" s="4">
        <v>0.5</v>
      </c>
      <c r="G52" s="4">
        <v>0.25</v>
      </c>
      <c r="H52" s="4">
        <v>0.25</v>
      </c>
      <c r="I52" s="4">
        <v>0.25</v>
      </c>
      <c r="J52" s="4">
        <v>0.75</v>
      </c>
      <c r="K52" s="4">
        <v>1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Q52" s="4" t="s">
        <v>45</v>
      </c>
      <c r="AR52" s="30">
        <v>0.109</v>
      </c>
      <c r="AS52" s="30">
        <v>0.13500000000000001</v>
      </c>
    </row>
    <row r="53" spans="2:45">
      <c r="B53" s="2" t="s">
        <v>46</v>
      </c>
      <c r="C53" s="4">
        <v>0.25</v>
      </c>
      <c r="D53" s="4">
        <v>0.25</v>
      </c>
      <c r="E53" s="4">
        <v>0.25</v>
      </c>
      <c r="F53" s="4">
        <v>0.25</v>
      </c>
      <c r="G53" s="4">
        <v>0.25</v>
      </c>
      <c r="H53" s="4">
        <v>0.25</v>
      </c>
      <c r="I53" s="4">
        <v>0.25</v>
      </c>
      <c r="J53" s="4">
        <v>0.25</v>
      </c>
      <c r="K53" s="4">
        <v>0.25</v>
      </c>
      <c r="L53" s="4">
        <v>1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Q53" s="4" t="s">
        <v>46</v>
      </c>
      <c r="AR53" s="30">
        <v>0.14599999999999999</v>
      </c>
      <c r="AS53" s="30">
        <v>0.107</v>
      </c>
    </row>
    <row r="54" spans="2:45">
      <c r="B54" s="2" t="s">
        <v>47</v>
      </c>
      <c r="C54" s="4">
        <v>0.25</v>
      </c>
      <c r="D54" s="4">
        <v>0.25</v>
      </c>
      <c r="E54" s="4">
        <v>0.25</v>
      </c>
      <c r="F54" s="4">
        <v>0.25</v>
      </c>
      <c r="G54" s="4">
        <v>0.25</v>
      </c>
      <c r="H54" s="4">
        <v>0.25</v>
      </c>
      <c r="I54" s="4">
        <v>0.25</v>
      </c>
      <c r="J54" s="4">
        <v>0.25</v>
      </c>
      <c r="K54" s="4">
        <v>0.25</v>
      </c>
      <c r="L54" s="4">
        <v>0.75</v>
      </c>
      <c r="M54" s="4">
        <v>1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Q54" s="4" t="s">
        <v>47</v>
      </c>
      <c r="AR54" s="30">
        <v>0.14599999999999999</v>
      </c>
      <c r="AS54" s="30">
        <v>0.107</v>
      </c>
    </row>
    <row r="55" spans="2:45">
      <c r="B55" s="2" t="s">
        <v>48</v>
      </c>
      <c r="C55" s="4">
        <v>0.25</v>
      </c>
      <c r="D55" s="4">
        <v>0.25</v>
      </c>
      <c r="E55" s="4">
        <v>0.25</v>
      </c>
      <c r="F55" s="4">
        <v>0.25</v>
      </c>
      <c r="G55" s="4">
        <v>0.25</v>
      </c>
      <c r="H55" s="4">
        <v>0.25</v>
      </c>
      <c r="I55" s="4">
        <v>0.25</v>
      </c>
      <c r="J55" s="4">
        <v>0.25</v>
      </c>
      <c r="K55" s="4">
        <v>0.25</v>
      </c>
      <c r="L55" s="4">
        <v>0.25</v>
      </c>
      <c r="M55" s="4">
        <v>0.25</v>
      </c>
      <c r="N55" s="4">
        <v>1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Q55" s="4" t="s">
        <v>48</v>
      </c>
      <c r="AR55" s="30">
        <v>0.14499999999999999</v>
      </c>
      <c r="AS55" s="30">
        <v>0.126</v>
      </c>
    </row>
    <row r="56" spans="2:45">
      <c r="B56" s="2" t="s">
        <v>49</v>
      </c>
      <c r="C56" s="4">
        <v>0.25</v>
      </c>
      <c r="D56" s="4">
        <v>0.25</v>
      </c>
      <c r="E56" s="4">
        <v>0.25</v>
      </c>
      <c r="F56" s="4">
        <v>0.25</v>
      </c>
      <c r="G56" s="4">
        <v>0.25</v>
      </c>
      <c r="H56" s="4">
        <v>0.25</v>
      </c>
      <c r="I56" s="4">
        <v>0.25</v>
      </c>
      <c r="J56" s="4">
        <v>0.25</v>
      </c>
      <c r="K56" s="4">
        <v>0.25</v>
      </c>
      <c r="L56" s="4">
        <v>0.25</v>
      </c>
      <c r="M56" s="4">
        <v>0.25</v>
      </c>
      <c r="N56" s="4">
        <v>0.75</v>
      </c>
      <c r="O56" s="4">
        <v>1</v>
      </c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Q56" s="4" t="s">
        <v>49</v>
      </c>
      <c r="AR56" s="30">
        <v>0.14499999999999999</v>
      </c>
      <c r="AS56" s="30">
        <v>0.126</v>
      </c>
    </row>
    <row r="57" spans="2:45">
      <c r="B57" s="2" t="s">
        <v>50</v>
      </c>
      <c r="C57" s="4">
        <v>0.25</v>
      </c>
      <c r="D57" s="4">
        <v>0.25</v>
      </c>
      <c r="E57" s="4">
        <v>0.25</v>
      </c>
      <c r="F57" s="4">
        <v>0.25</v>
      </c>
      <c r="G57" s="4">
        <v>0.25</v>
      </c>
      <c r="H57" s="4">
        <v>0.25</v>
      </c>
      <c r="I57" s="4">
        <v>0.25</v>
      </c>
      <c r="J57" s="4">
        <v>0.25</v>
      </c>
      <c r="K57" s="4">
        <v>0.25</v>
      </c>
      <c r="L57" s="4">
        <v>0.5</v>
      </c>
      <c r="M57" s="4">
        <v>0.5</v>
      </c>
      <c r="N57" s="4">
        <v>0.5</v>
      </c>
      <c r="O57" s="4">
        <v>0.5</v>
      </c>
      <c r="P57" s="4">
        <v>1</v>
      </c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Q57" s="4" t="s">
        <v>50</v>
      </c>
      <c r="AR57" s="30">
        <v>0.14599999999999999</v>
      </c>
      <c r="AS57" s="30">
        <v>0.107</v>
      </c>
    </row>
    <row r="58" spans="2:45">
      <c r="B58" s="2" t="s">
        <v>51</v>
      </c>
      <c r="C58" s="4">
        <v>0.25</v>
      </c>
      <c r="D58" s="4">
        <v>0.25</v>
      </c>
      <c r="E58" s="4">
        <v>0.25</v>
      </c>
      <c r="F58" s="4">
        <v>0.25</v>
      </c>
      <c r="G58" s="4">
        <v>0.25</v>
      </c>
      <c r="H58" s="4">
        <v>0.25</v>
      </c>
      <c r="I58" s="4">
        <v>0.25</v>
      </c>
      <c r="J58" s="4">
        <v>0.25</v>
      </c>
      <c r="K58" s="4">
        <v>0.25</v>
      </c>
      <c r="L58" s="4">
        <v>0.5</v>
      </c>
      <c r="M58" s="4">
        <v>0.5</v>
      </c>
      <c r="N58" s="4">
        <v>0.5</v>
      </c>
      <c r="O58" s="4">
        <v>0.5</v>
      </c>
      <c r="P58" s="4">
        <v>0.75</v>
      </c>
      <c r="Q58" s="4">
        <v>1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Q58" s="4" t="s">
        <v>51</v>
      </c>
      <c r="AR58" s="30">
        <v>0.14599999999999999</v>
      </c>
      <c r="AS58" s="30">
        <v>0.107</v>
      </c>
    </row>
    <row r="59" spans="2:45">
      <c r="B59" s="2" t="s">
        <v>52</v>
      </c>
      <c r="C59" s="4">
        <v>0.25</v>
      </c>
      <c r="D59" s="4">
        <v>0.25</v>
      </c>
      <c r="E59" s="4">
        <v>0.25</v>
      </c>
      <c r="F59" s="4">
        <v>0.25</v>
      </c>
      <c r="G59" s="4">
        <v>0.25</v>
      </c>
      <c r="H59" s="4">
        <v>0.25</v>
      </c>
      <c r="I59" s="4">
        <v>0.25</v>
      </c>
      <c r="J59" s="4">
        <v>0.25</v>
      </c>
      <c r="K59" s="4">
        <v>0.25</v>
      </c>
      <c r="L59" s="4">
        <v>0.25</v>
      </c>
      <c r="M59" s="4">
        <v>0.25</v>
      </c>
      <c r="N59" s="4">
        <v>0.25</v>
      </c>
      <c r="O59" s="4">
        <v>0.25</v>
      </c>
      <c r="P59" s="4">
        <v>0.5</v>
      </c>
      <c r="Q59" s="4">
        <v>0.5</v>
      </c>
      <c r="R59" s="4">
        <v>1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Q59" s="4" t="s">
        <v>52</v>
      </c>
      <c r="AR59" s="30">
        <v>0.14599999999999999</v>
      </c>
      <c r="AS59" s="30">
        <v>0.107</v>
      </c>
    </row>
    <row r="60" spans="2:45">
      <c r="B60" s="2" t="s">
        <v>53</v>
      </c>
      <c r="C60" s="4">
        <v>0.25</v>
      </c>
      <c r="D60" s="4">
        <v>0.25</v>
      </c>
      <c r="E60" s="4">
        <v>0.25</v>
      </c>
      <c r="F60" s="4">
        <v>0.25</v>
      </c>
      <c r="G60" s="4">
        <v>0.25</v>
      </c>
      <c r="H60" s="4">
        <v>0.25</v>
      </c>
      <c r="I60" s="4">
        <v>0.25</v>
      </c>
      <c r="J60" s="4">
        <v>0.25</v>
      </c>
      <c r="K60" s="4">
        <v>0.25</v>
      </c>
      <c r="L60" s="4">
        <v>0.25</v>
      </c>
      <c r="M60" s="4">
        <v>0.25</v>
      </c>
      <c r="N60" s="4">
        <v>0.25</v>
      </c>
      <c r="O60" s="4">
        <v>0.25</v>
      </c>
      <c r="P60" s="4">
        <v>0.5</v>
      </c>
      <c r="Q60" s="4">
        <v>0.5</v>
      </c>
      <c r="R60" s="4">
        <v>0.75</v>
      </c>
      <c r="S60" s="4">
        <v>1</v>
      </c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Q60" s="4" t="s">
        <v>53</v>
      </c>
      <c r="AR60" s="30">
        <v>0.14599999999999999</v>
      </c>
      <c r="AS60" s="30">
        <v>0.107</v>
      </c>
    </row>
    <row r="61" spans="2:45">
      <c r="B61" s="36" t="s">
        <v>73</v>
      </c>
      <c r="C61" s="4">
        <v>0.5</v>
      </c>
      <c r="D61" s="4">
        <v>0.5</v>
      </c>
      <c r="E61" s="4">
        <v>0.25</v>
      </c>
      <c r="F61" s="4">
        <v>0.25</v>
      </c>
      <c r="G61" s="4">
        <v>0.25</v>
      </c>
      <c r="H61" s="4">
        <v>0.25</v>
      </c>
      <c r="I61" s="4">
        <v>0.25</v>
      </c>
      <c r="J61" s="4">
        <v>0.25</v>
      </c>
      <c r="K61" s="4">
        <v>0.25</v>
      </c>
      <c r="L61" s="4">
        <v>0.25</v>
      </c>
      <c r="M61" s="4">
        <v>0.25</v>
      </c>
      <c r="N61" s="4">
        <v>0.25</v>
      </c>
      <c r="O61" s="4">
        <v>0.25</v>
      </c>
      <c r="P61" s="4">
        <v>0.25</v>
      </c>
      <c r="Q61" s="4">
        <v>0.25</v>
      </c>
      <c r="R61" s="4">
        <v>0.25</v>
      </c>
      <c r="S61" s="4">
        <v>0.25</v>
      </c>
      <c r="T61" s="4">
        <v>1</v>
      </c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Q61" s="16" t="s">
        <v>73</v>
      </c>
      <c r="AR61" s="30">
        <v>6.9000000000000006E-2</v>
      </c>
      <c r="AS61" s="30">
        <v>0.13</v>
      </c>
    </row>
    <row r="62" spans="2:45">
      <c r="B62" s="2" t="s">
        <v>54</v>
      </c>
      <c r="C62" s="4">
        <v>0.25</v>
      </c>
      <c r="D62" s="4">
        <v>0.25</v>
      </c>
      <c r="E62" s="4">
        <v>0.25</v>
      </c>
      <c r="F62" s="4">
        <v>0.25</v>
      </c>
      <c r="G62" s="4">
        <v>0.25</v>
      </c>
      <c r="H62" s="4">
        <v>0.25</v>
      </c>
      <c r="I62" s="4">
        <v>0.25</v>
      </c>
      <c r="J62" s="4">
        <v>0.25</v>
      </c>
      <c r="K62" s="4">
        <v>0.25</v>
      </c>
      <c r="L62" s="4">
        <v>0.25</v>
      </c>
      <c r="M62" s="4">
        <v>0.25</v>
      </c>
      <c r="N62" s="4">
        <v>0.25</v>
      </c>
      <c r="O62" s="4">
        <v>0.25</v>
      </c>
      <c r="P62" s="4">
        <v>0.25</v>
      </c>
      <c r="Q62" s="4">
        <v>0.25</v>
      </c>
      <c r="R62" s="4">
        <v>0.25</v>
      </c>
      <c r="S62" s="4">
        <v>0.25</v>
      </c>
      <c r="T62" s="4">
        <v>0.25</v>
      </c>
      <c r="U62" s="4">
        <v>1</v>
      </c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Q62" s="4" t="s">
        <v>54</v>
      </c>
      <c r="AR62" s="30">
        <v>0.128</v>
      </c>
      <c r="AS62" s="30">
        <v>0.10100000000000001</v>
      </c>
    </row>
    <row r="63" spans="2:45">
      <c r="B63" s="2" t="s">
        <v>55</v>
      </c>
      <c r="C63" s="4">
        <v>0.25</v>
      </c>
      <c r="D63" s="4">
        <v>0.25</v>
      </c>
      <c r="E63" s="4">
        <v>0.25</v>
      </c>
      <c r="F63" s="4">
        <v>0.25</v>
      </c>
      <c r="G63" s="4">
        <v>0.25</v>
      </c>
      <c r="H63" s="4">
        <v>0.25</v>
      </c>
      <c r="I63" s="4">
        <v>0.25</v>
      </c>
      <c r="J63" s="4">
        <v>0.25</v>
      </c>
      <c r="K63" s="4">
        <v>0.25</v>
      </c>
      <c r="L63" s="4">
        <v>0.25</v>
      </c>
      <c r="M63" s="4">
        <v>0.25</v>
      </c>
      <c r="N63" s="4">
        <v>0.25</v>
      </c>
      <c r="O63" s="4">
        <v>0.25</v>
      </c>
      <c r="P63" s="4">
        <v>0.25</v>
      </c>
      <c r="Q63" s="4">
        <v>0.25</v>
      </c>
      <c r="R63" s="4">
        <v>0.25</v>
      </c>
      <c r="S63" s="4">
        <v>0.25</v>
      </c>
      <c r="T63" s="4">
        <v>0.25</v>
      </c>
      <c r="U63" s="4">
        <v>0.25</v>
      </c>
      <c r="V63" s="4">
        <v>1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Q63" s="4" t="s">
        <v>55</v>
      </c>
      <c r="AR63" s="30">
        <v>0.128</v>
      </c>
      <c r="AS63" s="30">
        <v>0.10100000000000001</v>
      </c>
    </row>
    <row r="64" spans="2:45">
      <c r="B64" s="2" t="s">
        <v>56</v>
      </c>
      <c r="C64" s="4">
        <v>0.25</v>
      </c>
      <c r="D64" s="4">
        <v>0.25</v>
      </c>
      <c r="E64" s="4">
        <v>0.25</v>
      </c>
      <c r="F64" s="4">
        <v>0.25</v>
      </c>
      <c r="G64" s="4">
        <v>0.25</v>
      </c>
      <c r="H64" s="4">
        <v>0.25</v>
      </c>
      <c r="I64" s="4">
        <v>0.25</v>
      </c>
      <c r="J64" s="4">
        <v>0.25</v>
      </c>
      <c r="K64" s="4">
        <v>0.25</v>
      </c>
      <c r="L64" s="4">
        <v>0.25</v>
      </c>
      <c r="M64" s="4">
        <v>0.25</v>
      </c>
      <c r="N64" s="4">
        <v>0.25</v>
      </c>
      <c r="O64" s="4">
        <v>0.25</v>
      </c>
      <c r="P64" s="4">
        <v>0.25</v>
      </c>
      <c r="Q64" s="4">
        <v>0.25</v>
      </c>
      <c r="R64" s="4">
        <v>0.25</v>
      </c>
      <c r="S64" s="4">
        <v>0.25</v>
      </c>
      <c r="T64" s="4">
        <v>0.25</v>
      </c>
      <c r="U64" s="4">
        <v>0.5</v>
      </c>
      <c r="V64" s="4">
        <v>0.25</v>
      </c>
      <c r="W64" s="4">
        <v>1</v>
      </c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Q64" s="4" t="s">
        <v>56</v>
      </c>
      <c r="AR64" s="30">
        <v>0.128</v>
      </c>
      <c r="AS64" s="30">
        <v>0.10100000000000001</v>
      </c>
    </row>
    <row r="65" spans="2:45">
      <c r="B65" s="2" t="s">
        <v>57</v>
      </c>
      <c r="C65" s="4">
        <v>0.25</v>
      </c>
      <c r="D65" s="4">
        <v>0.25</v>
      </c>
      <c r="E65" s="4">
        <v>0.25</v>
      </c>
      <c r="F65" s="4">
        <v>0.25</v>
      </c>
      <c r="G65" s="4">
        <v>0.25</v>
      </c>
      <c r="H65" s="4">
        <v>0.25</v>
      </c>
      <c r="I65" s="4">
        <v>0.25</v>
      </c>
      <c r="J65" s="4">
        <v>0.25</v>
      </c>
      <c r="K65" s="4">
        <v>0.25</v>
      </c>
      <c r="L65" s="4">
        <v>0.25</v>
      </c>
      <c r="M65" s="4">
        <v>0.25</v>
      </c>
      <c r="N65" s="4">
        <v>0.25</v>
      </c>
      <c r="O65" s="4">
        <v>0.25</v>
      </c>
      <c r="P65" s="4">
        <v>0.25</v>
      </c>
      <c r="Q65" s="4">
        <v>0.25</v>
      </c>
      <c r="R65" s="4">
        <v>0.25</v>
      </c>
      <c r="S65" s="4">
        <v>0.25</v>
      </c>
      <c r="T65" s="4">
        <v>0.25</v>
      </c>
      <c r="U65" s="4">
        <v>0.5</v>
      </c>
      <c r="V65" s="4">
        <v>0.25</v>
      </c>
      <c r="W65" s="4">
        <v>0.25</v>
      </c>
      <c r="X65" s="4">
        <v>1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Q65" s="4" t="s">
        <v>57</v>
      </c>
      <c r="AR65" s="30">
        <v>0.128</v>
      </c>
      <c r="AS65" s="30">
        <v>0.10100000000000001</v>
      </c>
    </row>
    <row r="66" spans="2:45">
      <c r="B66" s="2" t="s">
        <v>58</v>
      </c>
      <c r="C66" s="4">
        <v>0.25</v>
      </c>
      <c r="D66" s="4">
        <v>0.25</v>
      </c>
      <c r="E66" s="4">
        <v>0.25</v>
      </c>
      <c r="F66" s="4">
        <v>0.25</v>
      </c>
      <c r="G66" s="4">
        <v>0.25</v>
      </c>
      <c r="H66" s="4">
        <v>0.25</v>
      </c>
      <c r="I66" s="4">
        <v>0.25</v>
      </c>
      <c r="J66" s="4">
        <v>0.25</v>
      </c>
      <c r="K66" s="4">
        <v>0.25</v>
      </c>
      <c r="L66" s="4">
        <v>0.25</v>
      </c>
      <c r="M66" s="4">
        <v>0.25</v>
      </c>
      <c r="N66" s="4">
        <v>0.25</v>
      </c>
      <c r="O66" s="4">
        <v>0.25</v>
      </c>
      <c r="P66" s="4">
        <v>0.25</v>
      </c>
      <c r="Q66" s="4">
        <v>0.25</v>
      </c>
      <c r="R66" s="4">
        <v>0.25</v>
      </c>
      <c r="S66" s="4">
        <v>0.25</v>
      </c>
      <c r="T66" s="4">
        <v>0.5</v>
      </c>
      <c r="U66" s="4">
        <v>0.5</v>
      </c>
      <c r="V66" s="4">
        <v>0.25</v>
      </c>
      <c r="W66" s="4">
        <v>0.5</v>
      </c>
      <c r="X66" s="4">
        <v>0.25</v>
      </c>
      <c r="Y66" s="4">
        <v>1</v>
      </c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Q66" s="4" t="s">
        <v>58</v>
      </c>
      <c r="AR66" s="30">
        <v>0.128</v>
      </c>
      <c r="AS66" s="30">
        <v>0.10100000000000001</v>
      </c>
    </row>
    <row r="67" spans="2:45">
      <c r="B67" s="2" t="s">
        <v>59</v>
      </c>
      <c r="C67" s="4">
        <v>0.25</v>
      </c>
      <c r="D67" s="4">
        <v>0.25</v>
      </c>
      <c r="E67" s="4">
        <v>0.25</v>
      </c>
      <c r="F67" s="4">
        <v>0.25</v>
      </c>
      <c r="G67" s="4">
        <v>0.25</v>
      </c>
      <c r="H67" s="4">
        <v>0.25</v>
      </c>
      <c r="I67" s="4">
        <v>0.25</v>
      </c>
      <c r="J67" s="4">
        <v>0.25</v>
      </c>
      <c r="K67" s="4">
        <v>0.25</v>
      </c>
      <c r="L67" s="4">
        <v>0.25</v>
      </c>
      <c r="M67" s="4">
        <v>0.25</v>
      </c>
      <c r="N67" s="4">
        <v>0.25</v>
      </c>
      <c r="O67" s="4">
        <v>0.25</v>
      </c>
      <c r="P67" s="4">
        <v>0.25</v>
      </c>
      <c r="Q67" s="4">
        <v>0.25</v>
      </c>
      <c r="R67" s="4">
        <v>0.25</v>
      </c>
      <c r="S67" s="4">
        <v>0.25</v>
      </c>
      <c r="T67" s="4">
        <v>0.25</v>
      </c>
      <c r="U67" s="4">
        <v>0.25</v>
      </c>
      <c r="V67" s="4">
        <v>0.25</v>
      </c>
      <c r="W67" s="4">
        <v>0.25</v>
      </c>
      <c r="X67" s="4">
        <v>0.25</v>
      </c>
      <c r="Y67" s="4">
        <v>0.25</v>
      </c>
      <c r="Z67" s="4">
        <v>1</v>
      </c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Q67" s="4" t="s">
        <v>59</v>
      </c>
      <c r="AR67" s="30">
        <v>0.128</v>
      </c>
      <c r="AS67" s="30">
        <v>0.10100000000000001</v>
      </c>
    </row>
    <row r="68" spans="2:45">
      <c r="B68" s="2" t="s">
        <v>60</v>
      </c>
      <c r="C68" s="4">
        <v>0.25</v>
      </c>
      <c r="D68" s="4">
        <v>0.25</v>
      </c>
      <c r="E68" s="4">
        <v>0.25</v>
      </c>
      <c r="F68" s="4">
        <v>0.25</v>
      </c>
      <c r="G68" s="4">
        <v>0.25</v>
      </c>
      <c r="H68" s="4">
        <v>0.25</v>
      </c>
      <c r="I68" s="4">
        <v>0.25</v>
      </c>
      <c r="J68" s="4">
        <v>0.25</v>
      </c>
      <c r="K68" s="4">
        <v>0.25</v>
      </c>
      <c r="L68" s="4">
        <v>0.25</v>
      </c>
      <c r="M68" s="4">
        <v>0.25</v>
      </c>
      <c r="N68" s="4">
        <v>0.25</v>
      </c>
      <c r="O68" s="4">
        <v>0.25</v>
      </c>
      <c r="P68" s="4">
        <v>0.25</v>
      </c>
      <c r="Q68" s="4">
        <v>0.25</v>
      </c>
      <c r="R68" s="4">
        <v>0.25</v>
      </c>
      <c r="S68" s="4">
        <v>0.25</v>
      </c>
      <c r="T68" s="4">
        <v>0.25</v>
      </c>
      <c r="U68" s="4">
        <v>0.5</v>
      </c>
      <c r="V68" s="4">
        <v>0.5</v>
      </c>
      <c r="W68" s="4">
        <v>0.5</v>
      </c>
      <c r="X68" s="4">
        <v>0.5</v>
      </c>
      <c r="Y68" s="4">
        <v>0.5</v>
      </c>
      <c r="Z68" s="4">
        <v>0.5</v>
      </c>
      <c r="AA68" s="4">
        <v>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Q68" s="4" t="s">
        <v>60</v>
      </c>
      <c r="AR68" s="30">
        <v>0.128</v>
      </c>
      <c r="AS68" s="30">
        <v>0.10100000000000001</v>
      </c>
    </row>
    <row r="69" spans="2:45">
      <c r="B69" s="36" t="s">
        <v>74</v>
      </c>
      <c r="C69" s="4">
        <v>0.25</v>
      </c>
      <c r="D69" s="4">
        <v>0.25</v>
      </c>
      <c r="E69" s="4">
        <v>0.25</v>
      </c>
      <c r="F69" s="4">
        <v>0.25</v>
      </c>
      <c r="G69" s="4">
        <v>0.25</v>
      </c>
      <c r="H69" s="4">
        <v>0.25</v>
      </c>
      <c r="I69" s="4">
        <v>0.25</v>
      </c>
      <c r="J69" s="4">
        <v>0.25</v>
      </c>
      <c r="K69" s="4">
        <v>0.25</v>
      </c>
      <c r="L69" s="4">
        <v>0.25</v>
      </c>
      <c r="M69" s="4">
        <v>0.25</v>
      </c>
      <c r="N69" s="4">
        <v>0.25</v>
      </c>
      <c r="O69" s="4">
        <v>0.25</v>
      </c>
      <c r="P69" s="4">
        <v>0.25</v>
      </c>
      <c r="Q69" s="4">
        <v>0.25</v>
      </c>
      <c r="R69" s="4">
        <v>0.25</v>
      </c>
      <c r="S69" s="4">
        <v>0.25</v>
      </c>
      <c r="T69" s="4">
        <v>0.5</v>
      </c>
      <c r="U69" s="4">
        <v>0.25</v>
      </c>
      <c r="V69" s="4">
        <v>0.25</v>
      </c>
      <c r="W69" s="4">
        <v>0.25</v>
      </c>
      <c r="X69" s="4">
        <v>0.25</v>
      </c>
      <c r="Y69" s="4">
        <v>0.5</v>
      </c>
      <c r="Z69" s="4">
        <v>0.25</v>
      </c>
      <c r="AA69" s="4">
        <v>0.25</v>
      </c>
      <c r="AB69" s="4">
        <v>1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Q69" s="4" t="s">
        <v>74</v>
      </c>
      <c r="AR69" s="30">
        <v>0.121</v>
      </c>
      <c r="AS69" s="30">
        <v>0.19700000000000001</v>
      </c>
    </row>
    <row r="70" spans="2:45">
      <c r="B70" s="36" t="s">
        <v>75</v>
      </c>
      <c r="C70" s="4">
        <v>0.25</v>
      </c>
      <c r="D70" s="4">
        <v>0.25</v>
      </c>
      <c r="E70" s="4">
        <v>0.25</v>
      </c>
      <c r="F70" s="4">
        <v>0.25</v>
      </c>
      <c r="G70" s="4">
        <v>0.25</v>
      </c>
      <c r="H70" s="4">
        <v>0.25</v>
      </c>
      <c r="I70" s="4">
        <v>0.25</v>
      </c>
      <c r="J70" s="4">
        <v>0.25</v>
      </c>
      <c r="K70" s="4">
        <v>0.25</v>
      </c>
      <c r="L70" s="4">
        <v>0.25</v>
      </c>
      <c r="M70" s="4">
        <v>0.25</v>
      </c>
      <c r="N70" s="4">
        <v>0.25</v>
      </c>
      <c r="O70" s="4">
        <v>0.25</v>
      </c>
      <c r="P70" s="4">
        <v>0.25</v>
      </c>
      <c r="Q70" s="4">
        <v>0.25</v>
      </c>
      <c r="R70" s="4">
        <v>0.25</v>
      </c>
      <c r="S70" s="4">
        <v>0.25</v>
      </c>
      <c r="T70" s="4">
        <v>0.5</v>
      </c>
      <c r="U70" s="4">
        <v>0.25</v>
      </c>
      <c r="V70" s="4">
        <v>0.25</v>
      </c>
      <c r="W70" s="4">
        <v>0.25</v>
      </c>
      <c r="X70" s="4">
        <v>0.25</v>
      </c>
      <c r="Y70" s="4">
        <v>0.5</v>
      </c>
      <c r="Z70" s="4">
        <v>0.25</v>
      </c>
      <c r="AA70" s="4">
        <v>0.25</v>
      </c>
      <c r="AB70" s="4">
        <v>0.75</v>
      </c>
      <c r="AC70" s="4">
        <v>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Q70" s="4" t="s">
        <v>75</v>
      </c>
      <c r="AR70" s="30">
        <v>0.121</v>
      </c>
      <c r="AS70" s="30">
        <v>0.19700000000000001</v>
      </c>
    </row>
    <row r="71" spans="2:45">
      <c r="B71" s="36" t="s">
        <v>76</v>
      </c>
      <c r="C71" s="4">
        <v>0.25</v>
      </c>
      <c r="D71" s="4">
        <v>0.25</v>
      </c>
      <c r="E71" s="4">
        <v>0.25</v>
      </c>
      <c r="F71" s="4">
        <v>0.25</v>
      </c>
      <c r="G71" s="4">
        <v>0.25</v>
      </c>
      <c r="H71" s="4">
        <v>0.25</v>
      </c>
      <c r="I71" s="4">
        <v>0.25</v>
      </c>
      <c r="J71" s="4">
        <v>0.25</v>
      </c>
      <c r="K71" s="4">
        <v>0.25</v>
      </c>
      <c r="L71" s="4">
        <v>0.25</v>
      </c>
      <c r="M71" s="4">
        <v>0.25</v>
      </c>
      <c r="N71" s="4">
        <v>0.25</v>
      </c>
      <c r="O71" s="4">
        <v>0.25</v>
      </c>
      <c r="P71" s="4">
        <v>0.25</v>
      </c>
      <c r="Q71" s="4">
        <v>0.25</v>
      </c>
      <c r="R71" s="4">
        <v>0.25</v>
      </c>
      <c r="S71" s="4">
        <v>0.25</v>
      </c>
      <c r="T71" s="4">
        <v>0.5</v>
      </c>
      <c r="U71" s="4">
        <v>0.25</v>
      </c>
      <c r="V71" s="4">
        <v>0.25</v>
      </c>
      <c r="W71" s="4">
        <v>0.25</v>
      </c>
      <c r="X71" s="4">
        <v>0.25</v>
      </c>
      <c r="Y71" s="4">
        <v>0.5</v>
      </c>
      <c r="Z71" s="4">
        <v>0.25</v>
      </c>
      <c r="AA71" s="4">
        <v>0.25</v>
      </c>
      <c r="AB71" s="4">
        <v>0.75</v>
      </c>
      <c r="AC71" s="4">
        <v>0.75</v>
      </c>
      <c r="AD71" s="4">
        <v>1</v>
      </c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Q71" s="4" t="s">
        <v>76</v>
      </c>
      <c r="AR71" s="30">
        <v>0.121</v>
      </c>
      <c r="AS71" s="30">
        <v>0.19700000000000001</v>
      </c>
    </row>
    <row r="72" spans="2:45">
      <c r="B72" s="36" t="s">
        <v>77</v>
      </c>
      <c r="C72" s="4">
        <v>0.25</v>
      </c>
      <c r="D72" s="4">
        <v>0.25</v>
      </c>
      <c r="E72" s="4">
        <v>0.25</v>
      </c>
      <c r="F72" s="4">
        <v>0.25</v>
      </c>
      <c r="G72" s="4">
        <v>0.25</v>
      </c>
      <c r="H72" s="4">
        <v>0.25</v>
      </c>
      <c r="I72" s="4">
        <v>0.25</v>
      </c>
      <c r="J72" s="4">
        <v>0.25</v>
      </c>
      <c r="K72" s="4">
        <v>0.25</v>
      </c>
      <c r="L72" s="4">
        <v>0.25</v>
      </c>
      <c r="M72" s="4">
        <v>0.25</v>
      </c>
      <c r="N72" s="4">
        <v>0.25</v>
      </c>
      <c r="O72" s="4">
        <v>0.25</v>
      </c>
      <c r="P72" s="4">
        <v>0.25</v>
      </c>
      <c r="Q72" s="4">
        <v>0.25</v>
      </c>
      <c r="R72" s="4">
        <v>0.25</v>
      </c>
      <c r="S72" s="4">
        <v>0.25</v>
      </c>
      <c r="T72" s="4">
        <v>0.25</v>
      </c>
      <c r="U72" s="4">
        <v>0.25</v>
      </c>
      <c r="V72" s="4">
        <v>0.25</v>
      </c>
      <c r="W72" s="4">
        <v>0.25</v>
      </c>
      <c r="X72" s="4">
        <v>0.25</v>
      </c>
      <c r="Y72" s="4">
        <v>0.25</v>
      </c>
      <c r="Z72" s="4">
        <v>0.25</v>
      </c>
      <c r="AA72" s="4">
        <v>0.25</v>
      </c>
      <c r="AB72" s="4">
        <v>0.25</v>
      </c>
      <c r="AC72" s="4">
        <v>0.75</v>
      </c>
      <c r="AD72" s="4">
        <v>0.75</v>
      </c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/>
      <c r="AQ72" s="4" t="s">
        <v>77</v>
      </c>
      <c r="AR72" s="30">
        <v>9.0999999999999998E-2</v>
      </c>
      <c r="AS72" s="30">
        <v>0.23200000000000001</v>
      </c>
    </row>
    <row r="73" spans="2:45">
      <c r="B73" s="36" t="s">
        <v>78</v>
      </c>
      <c r="C73" s="4">
        <v>0.25</v>
      </c>
      <c r="D73" s="4">
        <v>0.25</v>
      </c>
      <c r="E73" s="4">
        <v>0.25</v>
      </c>
      <c r="F73" s="4">
        <v>0.25</v>
      </c>
      <c r="G73" s="4">
        <v>0.25</v>
      </c>
      <c r="H73" s="4">
        <v>0.25</v>
      </c>
      <c r="I73" s="4">
        <v>0.25</v>
      </c>
      <c r="J73" s="4">
        <v>0.25</v>
      </c>
      <c r="K73" s="4">
        <v>0.25</v>
      </c>
      <c r="L73" s="4">
        <v>0.25</v>
      </c>
      <c r="M73" s="4">
        <v>0.25</v>
      </c>
      <c r="N73" s="4">
        <v>0.25</v>
      </c>
      <c r="O73" s="4">
        <v>0.25</v>
      </c>
      <c r="P73" s="4">
        <v>0.25</v>
      </c>
      <c r="Q73" s="4">
        <v>0.25</v>
      </c>
      <c r="R73" s="4">
        <v>0.25</v>
      </c>
      <c r="S73" s="4">
        <v>0.25</v>
      </c>
      <c r="T73" s="4">
        <v>0.25</v>
      </c>
      <c r="U73" s="4">
        <v>0.25</v>
      </c>
      <c r="V73" s="4">
        <v>0.25</v>
      </c>
      <c r="W73" s="4">
        <v>0.25</v>
      </c>
      <c r="X73" s="4">
        <v>0.25</v>
      </c>
      <c r="Y73" s="4">
        <v>0.25</v>
      </c>
      <c r="Z73" s="4">
        <v>0.5</v>
      </c>
      <c r="AA73" s="4">
        <v>0.25</v>
      </c>
      <c r="AB73" s="4">
        <v>0.25</v>
      </c>
      <c r="AC73" s="4">
        <v>0.25</v>
      </c>
      <c r="AD73" s="4">
        <v>0.25</v>
      </c>
      <c r="AE73" s="4">
        <v>0.25</v>
      </c>
      <c r="AF73" s="4">
        <v>1</v>
      </c>
      <c r="AG73" s="4"/>
      <c r="AH73" s="4"/>
      <c r="AI73" s="4"/>
      <c r="AJ73" s="4"/>
      <c r="AK73" s="4"/>
      <c r="AL73" s="4"/>
      <c r="AM73" s="4"/>
      <c r="AN73" s="4"/>
      <c r="AO73" s="4"/>
      <c r="AQ73" s="4" t="s">
        <v>78</v>
      </c>
      <c r="AR73" s="30">
        <v>0.123</v>
      </c>
      <c r="AS73" s="30">
        <v>0.193</v>
      </c>
    </row>
    <row r="74" spans="2:45">
      <c r="B74" s="2" t="s">
        <v>61</v>
      </c>
      <c r="C74" s="4">
        <v>0.25</v>
      </c>
      <c r="D74" s="4">
        <v>0.25</v>
      </c>
      <c r="E74" s="4">
        <v>0.25</v>
      </c>
      <c r="F74" s="4">
        <v>0.25</v>
      </c>
      <c r="G74" s="4">
        <v>0.25</v>
      </c>
      <c r="H74" s="4">
        <v>0.25</v>
      </c>
      <c r="I74" s="4">
        <v>0.25</v>
      </c>
      <c r="J74" s="4">
        <v>0.25</v>
      </c>
      <c r="K74" s="4">
        <v>0.25</v>
      </c>
      <c r="L74" s="4">
        <v>0.25</v>
      </c>
      <c r="M74" s="4">
        <v>0.25</v>
      </c>
      <c r="N74" s="4">
        <v>0.25</v>
      </c>
      <c r="O74" s="4">
        <v>0.25</v>
      </c>
      <c r="P74" s="4">
        <v>0.25</v>
      </c>
      <c r="Q74" s="4">
        <v>0.25</v>
      </c>
      <c r="R74" s="4">
        <v>0.25</v>
      </c>
      <c r="S74" s="4">
        <v>0.25</v>
      </c>
      <c r="T74" s="4">
        <v>0.25</v>
      </c>
      <c r="U74" s="4">
        <v>0.25</v>
      </c>
      <c r="V74" s="4">
        <v>0.25</v>
      </c>
      <c r="W74" s="4">
        <v>0.25</v>
      </c>
      <c r="X74" s="4">
        <v>0.25</v>
      </c>
      <c r="Y74" s="4">
        <v>0.25</v>
      </c>
      <c r="Z74" s="4">
        <v>0.25</v>
      </c>
      <c r="AA74" s="4">
        <v>0.25</v>
      </c>
      <c r="AB74" s="4">
        <v>0.25</v>
      </c>
      <c r="AC74" s="4">
        <v>0.25</v>
      </c>
      <c r="AD74" s="4">
        <v>0.25</v>
      </c>
      <c r="AE74" s="4">
        <v>0.25</v>
      </c>
      <c r="AF74" s="4">
        <v>0.25</v>
      </c>
      <c r="AG74" s="4">
        <v>1</v>
      </c>
      <c r="AH74" s="4"/>
      <c r="AI74" s="4"/>
      <c r="AJ74" s="4"/>
      <c r="AK74" s="4"/>
      <c r="AL74" s="4"/>
      <c r="AM74" s="4"/>
      <c r="AN74" s="4"/>
      <c r="AO74" s="4"/>
      <c r="AQ74" s="4" t="s">
        <v>61</v>
      </c>
      <c r="AR74" s="30">
        <v>9.0999999999999998E-2</v>
      </c>
      <c r="AS74" s="30">
        <v>0.23200000000000001</v>
      </c>
    </row>
    <row r="75" spans="2:45">
      <c r="B75" s="2" t="s">
        <v>62</v>
      </c>
      <c r="C75" s="4">
        <v>0.25</v>
      </c>
      <c r="D75" s="4">
        <v>0.25</v>
      </c>
      <c r="E75" s="4">
        <v>0.25</v>
      </c>
      <c r="F75" s="4">
        <v>0.25</v>
      </c>
      <c r="G75" s="4">
        <v>0.25</v>
      </c>
      <c r="H75" s="4">
        <v>0.25</v>
      </c>
      <c r="I75" s="4">
        <v>0.25</v>
      </c>
      <c r="J75" s="4">
        <v>0.25</v>
      </c>
      <c r="K75" s="4">
        <v>0.25</v>
      </c>
      <c r="L75" s="4">
        <v>0.25</v>
      </c>
      <c r="M75" s="4">
        <v>0.25</v>
      </c>
      <c r="N75" s="4">
        <v>0.25</v>
      </c>
      <c r="O75" s="4">
        <v>0.25</v>
      </c>
      <c r="P75" s="4">
        <v>0.25</v>
      </c>
      <c r="Q75" s="4">
        <v>0.25</v>
      </c>
      <c r="R75" s="4">
        <v>0.25</v>
      </c>
      <c r="S75" s="4">
        <v>0.25</v>
      </c>
      <c r="T75" s="4">
        <v>0.25</v>
      </c>
      <c r="U75" s="4">
        <v>0.25</v>
      </c>
      <c r="V75" s="4">
        <v>0.25</v>
      </c>
      <c r="W75" s="4">
        <v>0.25</v>
      </c>
      <c r="X75" s="4">
        <v>0.25</v>
      </c>
      <c r="Y75" s="4">
        <v>0.25</v>
      </c>
      <c r="Z75" s="4">
        <v>0.25</v>
      </c>
      <c r="AA75" s="4">
        <v>0.25</v>
      </c>
      <c r="AB75" s="4">
        <v>0.25</v>
      </c>
      <c r="AC75" s="4">
        <v>0.25</v>
      </c>
      <c r="AD75" s="4">
        <v>0.25</v>
      </c>
      <c r="AE75" s="4">
        <v>0.25</v>
      </c>
      <c r="AF75" s="4">
        <v>0.25</v>
      </c>
      <c r="AG75" s="4">
        <v>0.25</v>
      </c>
      <c r="AH75" s="4">
        <v>1</v>
      </c>
      <c r="AI75" s="4"/>
      <c r="AJ75" s="4"/>
      <c r="AK75" s="4"/>
      <c r="AL75" s="4"/>
      <c r="AM75" s="4"/>
      <c r="AN75" s="4"/>
      <c r="AO75" s="4"/>
      <c r="AQ75" s="4" t="s">
        <v>62</v>
      </c>
      <c r="AR75" s="30">
        <v>9.0999999999999998E-2</v>
      </c>
      <c r="AS75" s="30">
        <v>0.23200000000000001</v>
      </c>
    </row>
    <row r="76" spans="2:45">
      <c r="B76" s="2" t="s">
        <v>63</v>
      </c>
      <c r="C76" s="4">
        <v>0.5</v>
      </c>
      <c r="D76" s="4">
        <v>0.5</v>
      </c>
      <c r="E76" s="4">
        <v>0.5</v>
      </c>
      <c r="F76" s="4">
        <v>0.5</v>
      </c>
      <c r="G76" s="4">
        <v>0.5</v>
      </c>
      <c r="H76" s="4">
        <v>0.5</v>
      </c>
      <c r="I76" s="4">
        <v>0.5</v>
      </c>
      <c r="J76" s="4">
        <v>0.5</v>
      </c>
      <c r="K76" s="4">
        <v>0.5</v>
      </c>
      <c r="L76" s="4">
        <v>0.5</v>
      </c>
      <c r="M76" s="4">
        <v>0.5</v>
      </c>
      <c r="N76" s="4">
        <v>0.5</v>
      </c>
      <c r="O76" s="4">
        <v>0.5</v>
      </c>
      <c r="P76" s="4">
        <v>0.5</v>
      </c>
      <c r="Q76" s="4">
        <v>0.5</v>
      </c>
      <c r="R76" s="4">
        <v>0.5</v>
      </c>
      <c r="S76" s="4">
        <v>0.5</v>
      </c>
      <c r="T76" s="4">
        <v>0.5</v>
      </c>
      <c r="U76" s="4">
        <v>0.5</v>
      </c>
      <c r="V76" s="4">
        <v>0.5</v>
      </c>
      <c r="W76" s="4">
        <v>0.5</v>
      </c>
      <c r="X76" s="4">
        <v>0.5</v>
      </c>
      <c r="Y76" s="4">
        <v>0.5</v>
      </c>
      <c r="Z76" s="4">
        <v>0.5</v>
      </c>
      <c r="AA76" s="4">
        <v>0.5</v>
      </c>
      <c r="AB76" s="4">
        <v>0.5</v>
      </c>
      <c r="AC76" s="4">
        <v>0.5</v>
      </c>
      <c r="AD76" s="4">
        <v>0.5</v>
      </c>
      <c r="AE76" s="4">
        <v>0.5</v>
      </c>
      <c r="AF76" s="4">
        <v>0.5</v>
      </c>
      <c r="AG76" s="4">
        <v>0.5</v>
      </c>
      <c r="AH76" s="4">
        <v>0.5</v>
      </c>
      <c r="AI76" s="4">
        <v>1</v>
      </c>
      <c r="AJ76" s="4"/>
      <c r="AK76" s="4"/>
      <c r="AL76" s="4"/>
      <c r="AM76" s="4"/>
      <c r="AN76" s="4"/>
      <c r="AO76" s="4"/>
      <c r="AQ76" s="4" t="s">
        <v>63</v>
      </c>
      <c r="AR76" s="30">
        <v>9.0999999999999998E-2</v>
      </c>
      <c r="AS76" s="30">
        <v>0.23200000000000001</v>
      </c>
    </row>
    <row r="77" spans="2:45">
      <c r="B77" s="2" t="s">
        <v>64</v>
      </c>
      <c r="C77" s="4">
        <v>0.25</v>
      </c>
      <c r="D77" s="4">
        <v>0.25</v>
      </c>
      <c r="E77" s="4">
        <v>0.25</v>
      </c>
      <c r="F77" s="4">
        <v>0.25</v>
      </c>
      <c r="G77" s="4">
        <v>0.25</v>
      </c>
      <c r="H77" s="4">
        <v>0.25</v>
      </c>
      <c r="I77" s="4">
        <v>0.25</v>
      </c>
      <c r="J77" s="4">
        <v>0.25</v>
      </c>
      <c r="K77" s="4">
        <v>0.25</v>
      </c>
      <c r="L77" s="4">
        <v>0.25</v>
      </c>
      <c r="M77" s="4">
        <v>0.25</v>
      </c>
      <c r="N77" s="4">
        <v>0.25</v>
      </c>
      <c r="O77" s="4">
        <v>0.25</v>
      </c>
      <c r="P77" s="4">
        <v>0.25</v>
      </c>
      <c r="Q77" s="4">
        <v>0.25</v>
      </c>
      <c r="R77" s="4">
        <v>0.25</v>
      </c>
      <c r="S77" s="4">
        <v>0.25</v>
      </c>
      <c r="T77" s="4">
        <v>0.25</v>
      </c>
      <c r="U77" s="4">
        <v>0.25</v>
      </c>
      <c r="V77" s="4">
        <v>0.25</v>
      </c>
      <c r="W77" s="4">
        <v>0.25</v>
      </c>
      <c r="X77" s="4">
        <v>0.25</v>
      </c>
      <c r="Y77" s="4">
        <v>0.25</v>
      </c>
      <c r="Z77" s="4">
        <v>0.25</v>
      </c>
      <c r="AA77" s="4">
        <v>0.25</v>
      </c>
      <c r="AB77" s="4">
        <v>0.25</v>
      </c>
      <c r="AC77" s="4">
        <v>0.25</v>
      </c>
      <c r="AD77" s="4">
        <v>0.25</v>
      </c>
      <c r="AE77" s="4">
        <v>0.25</v>
      </c>
      <c r="AF77" s="4">
        <v>0.25</v>
      </c>
      <c r="AG77" s="4">
        <v>0.25</v>
      </c>
      <c r="AH77" s="4">
        <v>0.25</v>
      </c>
      <c r="AI77" s="4">
        <v>0.25</v>
      </c>
      <c r="AJ77" s="4">
        <v>1</v>
      </c>
      <c r="AK77" s="4"/>
      <c r="AL77" s="4"/>
      <c r="AM77" s="4"/>
      <c r="AN77" s="4"/>
      <c r="AO77" s="4"/>
      <c r="AQ77" s="4" t="s">
        <v>64</v>
      </c>
      <c r="AR77" s="30">
        <v>0.14899999999999999</v>
      </c>
      <c r="AS77" s="30">
        <v>0.11</v>
      </c>
    </row>
    <row r="78" spans="2:45">
      <c r="B78" s="2" t="s">
        <v>65</v>
      </c>
      <c r="C78" s="4">
        <v>0.25</v>
      </c>
      <c r="D78" s="4">
        <v>0.25</v>
      </c>
      <c r="E78" s="4">
        <v>0.25</v>
      </c>
      <c r="F78" s="4">
        <v>0.25</v>
      </c>
      <c r="G78" s="4">
        <v>0.25</v>
      </c>
      <c r="H78" s="4">
        <v>0.25</v>
      </c>
      <c r="I78" s="4">
        <v>0.25</v>
      </c>
      <c r="J78" s="4">
        <v>0.25</v>
      </c>
      <c r="K78" s="4">
        <v>0.25</v>
      </c>
      <c r="L78" s="4">
        <v>0.25</v>
      </c>
      <c r="M78" s="4">
        <v>0.25</v>
      </c>
      <c r="N78" s="4">
        <v>0.25</v>
      </c>
      <c r="O78" s="4">
        <v>0.25</v>
      </c>
      <c r="P78" s="4">
        <v>0.25</v>
      </c>
      <c r="Q78" s="4">
        <v>0.25</v>
      </c>
      <c r="R78" s="4">
        <v>0.25</v>
      </c>
      <c r="S78" s="4">
        <v>0.25</v>
      </c>
      <c r="T78" s="4">
        <v>0.25</v>
      </c>
      <c r="U78" s="4">
        <v>0.25</v>
      </c>
      <c r="V78" s="4">
        <v>0.25</v>
      </c>
      <c r="W78" s="4">
        <v>0.25</v>
      </c>
      <c r="X78" s="4">
        <v>0.25</v>
      </c>
      <c r="Y78" s="4">
        <v>0.25</v>
      </c>
      <c r="Z78" s="4">
        <v>0.25</v>
      </c>
      <c r="AA78" s="4">
        <v>0.25</v>
      </c>
      <c r="AB78" s="4">
        <v>0.25</v>
      </c>
      <c r="AC78" s="4">
        <v>0.25</v>
      </c>
      <c r="AD78" s="4">
        <v>0.25</v>
      </c>
      <c r="AE78" s="4">
        <v>0.25</v>
      </c>
      <c r="AF78" s="4">
        <v>0.25</v>
      </c>
      <c r="AG78" s="4">
        <v>0.25</v>
      </c>
      <c r="AH78" s="4">
        <v>0.25</v>
      </c>
      <c r="AI78" s="4">
        <v>0.25</v>
      </c>
      <c r="AJ78" s="4">
        <v>0.75</v>
      </c>
      <c r="AK78" s="4">
        <v>1</v>
      </c>
      <c r="AL78" s="4"/>
      <c r="AM78" s="4"/>
      <c r="AN78" s="4"/>
      <c r="AO78" s="4"/>
      <c r="AQ78" s="4" t="s">
        <v>65</v>
      </c>
      <c r="AR78" s="30">
        <v>0.14899999999999999</v>
      </c>
      <c r="AS78" s="30">
        <v>0.11</v>
      </c>
    </row>
    <row r="79" spans="2:45">
      <c r="B79" s="2" t="s">
        <v>66</v>
      </c>
      <c r="C79" s="4">
        <v>0.25</v>
      </c>
      <c r="D79" s="4">
        <v>0.25</v>
      </c>
      <c r="E79" s="4">
        <v>0.25</v>
      </c>
      <c r="F79" s="4">
        <v>0.25</v>
      </c>
      <c r="G79" s="4">
        <v>0.25</v>
      </c>
      <c r="H79" s="4">
        <v>0.25</v>
      </c>
      <c r="I79" s="4">
        <v>0.25</v>
      </c>
      <c r="J79" s="4">
        <v>0.25</v>
      </c>
      <c r="K79" s="4">
        <v>0.25</v>
      </c>
      <c r="L79" s="4">
        <v>0.25</v>
      </c>
      <c r="M79" s="4">
        <v>0.25</v>
      </c>
      <c r="N79" s="4">
        <v>0.25</v>
      </c>
      <c r="O79" s="4">
        <v>0.25</v>
      </c>
      <c r="P79" s="4">
        <v>0.25</v>
      </c>
      <c r="Q79" s="4">
        <v>0.25</v>
      </c>
      <c r="R79" s="4">
        <v>0.25</v>
      </c>
      <c r="S79" s="4">
        <v>0.25</v>
      </c>
      <c r="T79" s="4">
        <v>0.25</v>
      </c>
      <c r="U79" s="4">
        <v>0.25</v>
      </c>
      <c r="V79" s="4">
        <v>0.25</v>
      </c>
      <c r="W79" s="4">
        <v>0.25</v>
      </c>
      <c r="X79" s="4">
        <v>0.25</v>
      </c>
      <c r="Y79" s="4">
        <v>0.25</v>
      </c>
      <c r="Z79" s="4">
        <v>0.25</v>
      </c>
      <c r="AA79" s="4">
        <v>0.25</v>
      </c>
      <c r="AB79" s="4">
        <v>0.25</v>
      </c>
      <c r="AC79" s="4">
        <v>0.25</v>
      </c>
      <c r="AD79" s="4">
        <v>0.25</v>
      </c>
      <c r="AE79" s="4">
        <v>0.25</v>
      </c>
      <c r="AF79" s="4">
        <v>0.25</v>
      </c>
      <c r="AG79" s="4">
        <v>0.25</v>
      </c>
      <c r="AH79" s="4">
        <v>0.25</v>
      </c>
      <c r="AI79" s="4">
        <v>0.25</v>
      </c>
      <c r="AJ79" s="4">
        <v>0.5</v>
      </c>
      <c r="AK79" s="4">
        <v>0.5</v>
      </c>
      <c r="AL79" s="4">
        <v>1</v>
      </c>
      <c r="AM79" s="4"/>
      <c r="AN79" s="4"/>
      <c r="AO79" s="4"/>
      <c r="AQ79" s="4" t="s">
        <v>66</v>
      </c>
      <c r="AR79" s="30">
        <v>0.14899999999999999</v>
      </c>
      <c r="AS79" s="30">
        <v>0.11</v>
      </c>
    </row>
    <row r="80" spans="2:45">
      <c r="B80" s="2" t="s">
        <v>67</v>
      </c>
      <c r="C80" s="4">
        <v>0.25</v>
      </c>
      <c r="D80" s="4">
        <v>0.25</v>
      </c>
      <c r="E80" s="4">
        <v>0.25</v>
      </c>
      <c r="F80" s="4">
        <v>0.25</v>
      </c>
      <c r="G80" s="4">
        <v>0.25</v>
      </c>
      <c r="H80" s="4">
        <v>0.25</v>
      </c>
      <c r="I80" s="4">
        <v>0.25</v>
      </c>
      <c r="J80" s="4">
        <v>0.25</v>
      </c>
      <c r="K80" s="4">
        <v>0.25</v>
      </c>
      <c r="L80" s="4">
        <v>0.25</v>
      </c>
      <c r="M80" s="4">
        <v>0.25</v>
      </c>
      <c r="N80" s="4">
        <v>0.25</v>
      </c>
      <c r="O80" s="4">
        <v>0.25</v>
      </c>
      <c r="P80" s="4">
        <v>0.25</v>
      </c>
      <c r="Q80" s="4">
        <v>0.25</v>
      </c>
      <c r="R80" s="4">
        <v>0.25</v>
      </c>
      <c r="S80" s="4">
        <v>0.25</v>
      </c>
      <c r="T80" s="4">
        <v>0.25</v>
      </c>
      <c r="U80" s="4">
        <v>0.25</v>
      </c>
      <c r="V80" s="4">
        <v>0.25</v>
      </c>
      <c r="W80" s="4">
        <v>0.25</v>
      </c>
      <c r="X80" s="4">
        <v>0.25</v>
      </c>
      <c r="Y80" s="4">
        <v>0.25</v>
      </c>
      <c r="Z80" s="4">
        <v>0.25</v>
      </c>
      <c r="AA80" s="4">
        <v>0.25</v>
      </c>
      <c r="AB80" s="4">
        <v>0.25</v>
      </c>
      <c r="AC80" s="4">
        <v>0.25</v>
      </c>
      <c r="AD80" s="4">
        <v>0.25</v>
      </c>
      <c r="AE80" s="4">
        <v>0.25</v>
      </c>
      <c r="AF80" s="4">
        <v>0.25</v>
      </c>
      <c r="AG80" s="4">
        <v>0.25</v>
      </c>
      <c r="AH80" s="4">
        <v>0.25</v>
      </c>
      <c r="AI80" s="4">
        <v>0.25</v>
      </c>
      <c r="AJ80" s="4">
        <v>0.25</v>
      </c>
      <c r="AK80" s="4">
        <v>0.25</v>
      </c>
      <c r="AL80" s="4">
        <v>0.25</v>
      </c>
      <c r="AM80" s="4">
        <v>1</v>
      </c>
      <c r="AN80" s="4"/>
      <c r="AO80" s="4"/>
      <c r="AQ80" s="4" t="s">
        <v>67</v>
      </c>
      <c r="AR80" s="30">
        <v>0.14899999999999999</v>
      </c>
      <c r="AS80" s="30">
        <v>0.11</v>
      </c>
    </row>
    <row r="81" spans="1:45">
      <c r="B81" s="2" t="s">
        <v>68</v>
      </c>
      <c r="C81" s="4">
        <v>0.25</v>
      </c>
      <c r="D81" s="4">
        <v>0.25</v>
      </c>
      <c r="E81" s="4">
        <v>0.25</v>
      </c>
      <c r="F81" s="4">
        <v>0.25</v>
      </c>
      <c r="G81" s="4">
        <v>0.25</v>
      </c>
      <c r="H81" s="4">
        <v>0.25</v>
      </c>
      <c r="I81" s="4">
        <v>0.25</v>
      </c>
      <c r="J81" s="4">
        <v>0.25</v>
      </c>
      <c r="K81" s="4">
        <v>0.25</v>
      </c>
      <c r="L81" s="4">
        <v>0.25</v>
      </c>
      <c r="M81" s="4">
        <v>0.25</v>
      </c>
      <c r="N81" s="4">
        <v>0.25</v>
      </c>
      <c r="O81" s="4">
        <v>0.25</v>
      </c>
      <c r="P81" s="4">
        <v>0.25</v>
      </c>
      <c r="Q81" s="4">
        <v>0.25</v>
      </c>
      <c r="R81" s="4">
        <v>0.25</v>
      </c>
      <c r="S81" s="4">
        <v>0.25</v>
      </c>
      <c r="T81" s="4">
        <v>0.25</v>
      </c>
      <c r="U81" s="4">
        <v>0.25</v>
      </c>
      <c r="V81" s="4">
        <v>0.25</v>
      </c>
      <c r="W81" s="4">
        <v>0.25</v>
      </c>
      <c r="X81" s="4">
        <v>0.25</v>
      </c>
      <c r="Y81" s="4">
        <v>0.25</v>
      </c>
      <c r="Z81" s="4">
        <v>0.25</v>
      </c>
      <c r="AA81" s="4">
        <v>0.25</v>
      </c>
      <c r="AB81" s="4">
        <v>0.25</v>
      </c>
      <c r="AC81" s="4">
        <v>0.25</v>
      </c>
      <c r="AD81" s="4">
        <v>0.25</v>
      </c>
      <c r="AE81" s="4">
        <v>0.25</v>
      </c>
      <c r="AF81" s="4">
        <v>0.25</v>
      </c>
      <c r="AG81" s="4">
        <v>0.25</v>
      </c>
      <c r="AH81" s="4">
        <v>0.25</v>
      </c>
      <c r="AI81" s="4">
        <v>0.25</v>
      </c>
      <c r="AJ81" s="4">
        <v>0.25</v>
      </c>
      <c r="AK81" s="4">
        <v>0.25</v>
      </c>
      <c r="AL81" s="4">
        <v>0.25</v>
      </c>
      <c r="AM81" s="4">
        <v>0.25</v>
      </c>
      <c r="AN81" s="4">
        <v>1</v>
      </c>
      <c r="AO81" s="4"/>
      <c r="AQ81" s="4" t="s">
        <v>68</v>
      </c>
      <c r="AR81" s="30">
        <v>0.17499999999999999</v>
      </c>
      <c r="AS81" s="6">
        <v>0.2</v>
      </c>
    </row>
    <row r="82" spans="1:45">
      <c r="B82" s="2" t="s">
        <v>69</v>
      </c>
      <c r="C82" s="7">
        <v>0.25</v>
      </c>
      <c r="D82" s="7">
        <v>0.25</v>
      </c>
      <c r="E82" s="7">
        <v>0.25</v>
      </c>
      <c r="F82" s="7">
        <v>0.25</v>
      </c>
      <c r="G82" s="7">
        <v>0.25</v>
      </c>
      <c r="H82" s="7">
        <v>0.25</v>
      </c>
      <c r="I82" s="7">
        <v>0.25</v>
      </c>
      <c r="J82" s="7">
        <v>0.25</v>
      </c>
      <c r="K82" s="7">
        <v>0.25</v>
      </c>
      <c r="L82" s="7">
        <v>0.25</v>
      </c>
      <c r="M82" s="7">
        <v>0.25</v>
      </c>
      <c r="N82" s="7">
        <v>0.25</v>
      </c>
      <c r="O82" s="7">
        <v>0.25</v>
      </c>
      <c r="P82" s="7">
        <v>0.25</v>
      </c>
      <c r="Q82" s="7">
        <v>0.25</v>
      </c>
      <c r="R82" s="7">
        <v>0.25</v>
      </c>
      <c r="S82" s="7">
        <v>0.25</v>
      </c>
      <c r="T82" s="7">
        <v>0.25</v>
      </c>
      <c r="U82" s="7">
        <v>0.25</v>
      </c>
      <c r="V82" s="7">
        <v>0.25</v>
      </c>
      <c r="W82" s="7">
        <v>0.25</v>
      </c>
      <c r="X82" s="7">
        <v>0.25</v>
      </c>
      <c r="Y82" s="7">
        <v>0.25</v>
      </c>
      <c r="Z82" s="7">
        <v>0.25</v>
      </c>
      <c r="AA82" s="7">
        <v>0.25</v>
      </c>
      <c r="AB82" s="7">
        <v>0.25</v>
      </c>
      <c r="AC82" s="7">
        <v>0.25</v>
      </c>
      <c r="AD82" s="7">
        <v>0.25</v>
      </c>
      <c r="AE82" s="7">
        <v>0.25</v>
      </c>
      <c r="AF82" s="7">
        <v>0.25</v>
      </c>
      <c r="AG82" s="7">
        <v>0.25</v>
      </c>
      <c r="AH82" s="7">
        <v>0.25</v>
      </c>
      <c r="AI82" s="7">
        <v>0.25</v>
      </c>
      <c r="AJ82" s="7">
        <v>0.25</v>
      </c>
      <c r="AK82" s="7">
        <v>0.25</v>
      </c>
      <c r="AL82" s="7">
        <v>0.25</v>
      </c>
      <c r="AM82" s="7">
        <v>0.25</v>
      </c>
      <c r="AN82" s="7">
        <v>0.25</v>
      </c>
      <c r="AO82" s="7">
        <v>1</v>
      </c>
      <c r="AQ82" s="7" t="s">
        <v>69</v>
      </c>
      <c r="AR82" s="31">
        <v>0.17499999999999999</v>
      </c>
      <c r="AS82" s="8">
        <v>0.2</v>
      </c>
    </row>
    <row r="85" spans="1:45">
      <c r="A85" s="26" t="s">
        <v>139</v>
      </c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</row>
    <row r="87" spans="1:45">
      <c r="B87" s="1" t="s">
        <v>97</v>
      </c>
      <c r="C87" s="1">
        <v>1</v>
      </c>
      <c r="D87" s="1">
        <v>2</v>
      </c>
      <c r="E87" s="1">
        <v>3</v>
      </c>
      <c r="F87" s="1">
        <v>5</v>
      </c>
      <c r="G87" s="1">
        <v>10</v>
      </c>
      <c r="H87" s="1">
        <v>15</v>
      </c>
      <c r="I87" s="1">
        <v>20</v>
      </c>
    </row>
    <row r="88" spans="1:45">
      <c r="B88" s="3">
        <v>0</v>
      </c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</row>
    <row r="89" spans="1:45">
      <c r="B89" s="4">
        <v>1</v>
      </c>
      <c r="C89" s="30">
        <v>1.4E-3</v>
      </c>
      <c r="D89" s="30">
        <v>2.7000000000000001E-3</v>
      </c>
      <c r="E89" s="30">
        <v>4.0000000000000001E-3</v>
      </c>
      <c r="F89" s="30">
        <v>6.4999999999999997E-3</v>
      </c>
      <c r="G89" s="30">
        <v>1.2999999999999999E-2</v>
      </c>
      <c r="H89" s="30">
        <v>1.9400000000000001E-2</v>
      </c>
      <c r="I89" s="30">
        <v>2.58E-2</v>
      </c>
    </row>
    <row r="90" spans="1:45">
      <c r="B90" s="4">
        <v>2</v>
      </c>
      <c r="C90" s="30">
        <v>2.5999999999999999E-3</v>
      </c>
      <c r="D90" s="30">
        <v>4.4000000000000003E-3</v>
      </c>
      <c r="E90" s="30">
        <v>6.1999999999999998E-3</v>
      </c>
      <c r="F90" s="30">
        <v>9.7999999999999997E-3</v>
      </c>
      <c r="G90" s="30">
        <v>1.8800000000000001E-2</v>
      </c>
      <c r="H90" s="30">
        <v>2.7799999999999998E-2</v>
      </c>
      <c r="I90" s="30">
        <v>3.6799999999999999E-2</v>
      </c>
    </row>
    <row r="91" spans="1:45">
      <c r="B91" s="4">
        <v>3</v>
      </c>
      <c r="C91" s="30">
        <v>3.5999999999999999E-3</v>
      </c>
      <c r="D91" s="30">
        <v>5.7999999999999996E-3</v>
      </c>
      <c r="E91" s="30">
        <v>8.0000000000000002E-3</v>
      </c>
      <c r="F91" s="30">
        <v>1.24E-2</v>
      </c>
      <c r="G91" s="30">
        <v>2.3400000000000001E-2</v>
      </c>
      <c r="H91" s="30">
        <v>3.44E-2</v>
      </c>
      <c r="I91" s="30">
        <v>4.5400000000000003E-2</v>
      </c>
    </row>
    <row r="92" spans="1:45">
      <c r="B92" s="4">
        <v>4</v>
      </c>
      <c r="C92" s="30">
        <v>6.4999999999999997E-3</v>
      </c>
      <c r="D92" s="30">
        <v>9.5999999999999992E-3</v>
      </c>
      <c r="E92" s="30">
        <v>1.2699999999999999E-2</v>
      </c>
      <c r="F92" s="30">
        <v>1.8800000000000001E-2</v>
      </c>
      <c r="G92" s="30">
        <v>3.4200000000000001E-2</v>
      </c>
      <c r="H92" s="30">
        <v>4.9599999999999998E-2</v>
      </c>
      <c r="I92" s="30">
        <v>6.4899999999999999E-2</v>
      </c>
    </row>
    <row r="93" spans="1:45">
      <c r="B93" s="4">
        <v>5</v>
      </c>
      <c r="C93" s="30">
        <v>9.1000000000000004E-3</v>
      </c>
      <c r="D93" s="30">
        <v>1.2800000000000001E-2</v>
      </c>
      <c r="E93" s="30">
        <v>1.66E-2</v>
      </c>
      <c r="F93" s="30">
        <v>2.4E-2</v>
      </c>
      <c r="G93" s="30">
        <v>4.2599999999999999E-2</v>
      </c>
      <c r="H93" s="30">
        <v>6.1100000000000002E-2</v>
      </c>
      <c r="I93" s="30">
        <v>7.9699999999999993E-2</v>
      </c>
    </row>
    <row r="94" spans="1:45">
      <c r="B94" s="4">
        <v>6</v>
      </c>
      <c r="C94" s="30">
        <v>1.0699999999999999E-2</v>
      </c>
      <c r="D94" s="30">
        <v>1.4800000000000001E-2</v>
      </c>
      <c r="E94" s="30">
        <v>1.89E-2</v>
      </c>
      <c r="F94" s="30">
        <v>2.7E-2</v>
      </c>
      <c r="G94" s="30">
        <v>4.7300000000000002E-2</v>
      </c>
      <c r="H94" s="30">
        <v>6.7699999999999996E-2</v>
      </c>
      <c r="I94" s="30">
        <v>8.7999999999999995E-2</v>
      </c>
    </row>
    <row r="95" spans="1:45">
      <c r="B95" s="4">
        <v>7</v>
      </c>
      <c r="C95" s="30">
        <v>1.44E-2</v>
      </c>
      <c r="D95" s="30">
        <v>1.9199999999999998E-2</v>
      </c>
      <c r="E95" s="30">
        <v>2.4E-2</v>
      </c>
      <c r="F95" s="30">
        <v>3.3500000000000002E-2</v>
      </c>
      <c r="G95" s="30">
        <v>5.7500000000000002E-2</v>
      </c>
      <c r="H95" s="30">
        <v>8.14E-2</v>
      </c>
      <c r="I95" s="30">
        <v>0.10539999999999999</v>
      </c>
    </row>
    <row r="96" spans="1:45">
      <c r="B96" s="4">
        <v>8</v>
      </c>
      <c r="C96" s="30">
        <v>1.83E-2</v>
      </c>
      <c r="D96" s="30">
        <v>2.3800000000000002E-2</v>
      </c>
      <c r="E96" s="30">
        <v>2.92E-2</v>
      </c>
      <c r="F96" s="30">
        <v>4.0099999999999997E-2</v>
      </c>
      <c r="G96" s="30">
        <v>6.7400000000000002E-2</v>
      </c>
      <c r="H96" s="30">
        <v>9.4600000000000004E-2</v>
      </c>
      <c r="I96" s="30">
        <v>0.12189999999999999</v>
      </c>
    </row>
    <row r="97" spans="1:45">
      <c r="B97" s="4">
        <v>9</v>
      </c>
      <c r="C97" s="30">
        <v>2.75E-2</v>
      </c>
      <c r="D97" s="30">
        <v>3.4200000000000001E-2</v>
      </c>
      <c r="E97" s="30">
        <v>4.0899999999999999E-2</v>
      </c>
      <c r="F97" s="30">
        <v>5.4300000000000001E-2</v>
      </c>
      <c r="G97" s="30">
        <v>8.7800000000000003E-2</v>
      </c>
      <c r="H97" s="30">
        <v>0.12139999999999999</v>
      </c>
      <c r="I97" s="30">
        <v>0.15490000000000001</v>
      </c>
    </row>
    <row r="98" spans="1:45">
      <c r="B98" s="4">
        <v>10</v>
      </c>
      <c r="C98" s="30">
        <v>3.4099999999999998E-2</v>
      </c>
      <c r="D98" s="30">
        <v>4.1500000000000002E-2</v>
      </c>
      <c r="E98" s="30">
        <v>4.8899999999999999E-2</v>
      </c>
      <c r="F98" s="30">
        <v>6.3700000000000007E-2</v>
      </c>
      <c r="G98" s="30">
        <v>0.10059999999999999</v>
      </c>
      <c r="H98" s="30">
        <v>0.1376</v>
      </c>
      <c r="I98" s="30">
        <v>0.17460000000000001</v>
      </c>
    </row>
    <row r="99" spans="1:45">
      <c r="B99" s="4">
        <v>11</v>
      </c>
      <c r="C99" s="30">
        <v>4.36E-2</v>
      </c>
      <c r="D99" s="30">
        <v>5.1700000000000003E-2</v>
      </c>
      <c r="E99" s="30">
        <v>5.9900000000000002E-2</v>
      </c>
      <c r="F99" s="30">
        <v>7.6200000000000004E-2</v>
      </c>
      <c r="G99" s="30">
        <v>0.11700000000000001</v>
      </c>
      <c r="H99" s="30">
        <v>0.1578</v>
      </c>
      <c r="I99" s="30">
        <v>0.1986</v>
      </c>
    </row>
    <row r="100" spans="1:45">
      <c r="B100" s="4">
        <v>12</v>
      </c>
      <c r="C100" s="30">
        <v>5.8099999999999999E-2</v>
      </c>
      <c r="D100" s="30">
        <v>6.6900000000000001E-2</v>
      </c>
      <c r="E100" s="30">
        <v>7.5800000000000006E-2</v>
      </c>
      <c r="F100" s="30">
        <v>9.3600000000000003E-2</v>
      </c>
      <c r="G100" s="30">
        <v>0.13800000000000001</v>
      </c>
      <c r="H100" s="30">
        <v>0.18240000000000001</v>
      </c>
      <c r="I100" s="30">
        <v>0.2268</v>
      </c>
    </row>
    <row r="101" spans="1:45">
      <c r="B101" s="4">
        <v>13</v>
      </c>
      <c r="C101" s="30">
        <v>7.5800000000000006E-2</v>
      </c>
      <c r="D101" s="30">
        <v>8.5000000000000006E-2</v>
      </c>
      <c r="E101" s="30">
        <v>9.4200000000000006E-2</v>
      </c>
      <c r="F101" s="30">
        <v>0.11260000000000001</v>
      </c>
      <c r="G101" s="30">
        <v>0.15870000000000001</v>
      </c>
      <c r="H101" s="30">
        <v>0.20469999999999999</v>
      </c>
      <c r="I101" s="30">
        <v>0.25080000000000002</v>
      </c>
    </row>
    <row r="102" spans="1:45">
      <c r="B102" s="4">
        <v>14</v>
      </c>
      <c r="C102" s="30">
        <v>0.1062</v>
      </c>
      <c r="D102" s="30">
        <v>0.11550000000000001</v>
      </c>
      <c r="E102" s="30">
        <v>0.1249</v>
      </c>
      <c r="F102" s="30">
        <v>0.14349999999999999</v>
      </c>
      <c r="G102" s="30">
        <v>0.19020000000000001</v>
      </c>
      <c r="H102" s="30">
        <v>0.2369</v>
      </c>
      <c r="I102" s="30">
        <v>0.28360000000000002</v>
      </c>
    </row>
    <row r="103" spans="1:45">
      <c r="B103" s="4">
        <v>15</v>
      </c>
      <c r="C103" s="30">
        <v>0.13469999999999999</v>
      </c>
      <c r="D103" s="30">
        <v>0.14419999999999999</v>
      </c>
      <c r="E103" s="30">
        <v>0.15359999999999999</v>
      </c>
      <c r="F103" s="30">
        <v>0.1726</v>
      </c>
      <c r="G103" s="30">
        <v>0.21990000000000001</v>
      </c>
      <c r="H103" s="30">
        <v>0.26729999999999998</v>
      </c>
      <c r="I103" s="30">
        <v>0.31459999999999999</v>
      </c>
    </row>
    <row r="104" spans="1:45">
      <c r="B104" s="4">
        <v>16</v>
      </c>
      <c r="C104" s="30">
        <v>0.19289999999999999</v>
      </c>
      <c r="D104" s="30">
        <v>0.20169999999999999</v>
      </c>
      <c r="E104" s="30">
        <v>0.21049999999999999</v>
      </c>
      <c r="F104" s="30">
        <v>0.22819999999999999</v>
      </c>
      <c r="G104" s="30">
        <v>0.2722</v>
      </c>
      <c r="H104" s="30">
        <v>0.31619999999999998</v>
      </c>
      <c r="I104" s="30">
        <v>0.36020000000000002</v>
      </c>
    </row>
    <row r="105" spans="1:45">
      <c r="B105" s="4">
        <v>17</v>
      </c>
      <c r="C105" s="30">
        <v>0.2051</v>
      </c>
      <c r="D105" s="30">
        <v>0.21329999999999999</v>
      </c>
      <c r="E105" s="30">
        <v>0.2215</v>
      </c>
      <c r="F105" s="30">
        <v>0.23799999999999999</v>
      </c>
      <c r="G105" s="30">
        <v>0.27910000000000001</v>
      </c>
      <c r="H105" s="30">
        <v>0.32019999999999998</v>
      </c>
      <c r="I105" s="30">
        <v>0.36130000000000001</v>
      </c>
    </row>
    <row r="106" spans="1:45">
      <c r="B106" s="7">
        <v>18</v>
      </c>
      <c r="C106" s="31">
        <v>0.21149999999999999</v>
      </c>
      <c r="D106" s="31">
        <v>0.21909999999999999</v>
      </c>
      <c r="E106" s="31">
        <v>0.22670000000000001</v>
      </c>
      <c r="F106" s="31">
        <v>0.2419</v>
      </c>
      <c r="G106" s="31">
        <v>0.27979999999999999</v>
      </c>
      <c r="H106" s="31">
        <v>0.32019999999999998</v>
      </c>
      <c r="I106" s="31">
        <v>0.36130000000000001</v>
      </c>
    </row>
    <row r="109" spans="1:45">
      <c r="A109" s="26" t="s">
        <v>138</v>
      </c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</row>
    <row r="111" spans="1:45">
      <c r="B111" s="1" t="s">
        <v>98</v>
      </c>
      <c r="C111" s="1" t="s">
        <v>100</v>
      </c>
      <c r="D111" s="1" t="s">
        <v>99</v>
      </c>
      <c r="F111" s="1" t="s">
        <v>98</v>
      </c>
      <c r="G111" s="1" t="s">
        <v>100</v>
      </c>
      <c r="H111" s="1" t="s">
        <v>99</v>
      </c>
    </row>
    <row r="112" spans="1:45">
      <c r="B112" s="19">
        <v>0.25</v>
      </c>
      <c r="C112" s="32">
        <v>0.78549999999999998</v>
      </c>
      <c r="D112" s="32">
        <v>-0.48060000000000003</v>
      </c>
      <c r="F112" s="19">
        <v>0.25</v>
      </c>
      <c r="G112" s="32">
        <v>0.75890000000000002</v>
      </c>
      <c r="H112" s="32">
        <v>-0.75890000000000002</v>
      </c>
    </row>
    <row r="113" spans="2:8">
      <c r="B113" s="20">
        <v>0.5</v>
      </c>
      <c r="C113" s="33">
        <v>0.78549999999999998</v>
      </c>
      <c r="D113" s="33">
        <v>-0.48060000000000003</v>
      </c>
      <c r="F113" s="20">
        <v>0.5</v>
      </c>
      <c r="G113" s="33">
        <v>0.75890000000000002</v>
      </c>
      <c r="H113" s="33">
        <v>-0.75890000000000002</v>
      </c>
    </row>
    <row r="114" spans="2:8">
      <c r="B114" s="20">
        <v>1</v>
      </c>
      <c r="C114" s="33">
        <v>0.93079999999999996</v>
      </c>
      <c r="D114" s="33">
        <v>-0.52869999999999995</v>
      </c>
      <c r="F114" s="20">
        <v>1</v>
      </c>
      <c r="G114" s="33">
        <v>0.75890000000000002</v>
      </c>
      <c r="H114" s="33">
        <v>-0.75890000000000002</v>
      </c>
    </row>
    <row r="115" spans="2:8">
      <c r="B115" s="20">
        <v>2</v>
      </c>
      <c r="C115" s="33">
        <v>0.82379999999999998</v>
      </c>
      <c r="D115" s="33">
        <v>-0.50729999999999997</v>
      </c>
      <c r="F115" s="20">
        <v>2</v>
      </c>
      <c r="G115" s="33">
        <v>0.75890000000000002</v>
      </c>
      <c r="H115" s="33">
        <v>-0.75890000000000002</v>
      </c>
    </row>
    <row r="116" spans="2:8">
      <c r="B116" s="20">
        <v>3</v>
      </c>
      <c r="C116" s="33">
        <v>0.64680000000000004</v>
      </c>
      <c r="D116" s="33">
        <v>-0.44650000000000001</v>
      </c>
      <c r="F116" s="20">
        <v>3</v>
      </c>
      <c r="G116" s="33">
        <v>0.67359999999999998</v>
      </c>
      <c r="H116" s="33">
        <v>-0.67359999999999998</v>
      </c>
    </row>
    <row r="117" spans="2:8">
      <c r="B117" s="20">
        <v>4</v>
      </c>
      <c r="C117" s="33">
        <v>0.51239999999999997</v>
      </c>
      <c r="D117" s="33">
        <v>-0.3886</v>
      </c>
      <c r="F117" s="20">
        <v>4</v>
      </c>
      <c r="G117" s="33">
        <v>0.6552</v>
      </c>
      <c r="H117" s="33">
        <v>-0.6552</v>
      </c>
    </row>
    <row r="118" spans="2:8">
      <c r="B118" s="20">
        <v>5</v>
      </c>
      <c r="C118" s="33">
        <v>0.42120000000000002</v>
      </c>
      <c r="D118" s="33">
        <v>-0.34370000000000001</v>
      </c>
      <c r="F118" s="20">
        <v>5</v>
      </c>
      <c r="G118" s="33">
        <v>0.63949999999999996</v>
      </c>
      <c r="H118" s="33">
        <v>-0.63949999999999996</v>
      </c>
    </row>
    <row r="119" spans="2:8">
      <c r="B119" s="20">
        <v>6</v>
      </c>
      <c r="C119" s="33">
        <v>0.3649</v>
      </c>
      <c r="D119" s="33">
        <v>-0.31369999999999998</v>
      </c>
      <c r="F119" s="20">
        <v>6</v>
      </c>
      <c r="G119" s="33">
        <v>0.61170000000000002</v>
      </c>
      <c r="H119" s="33">
        <v>-0.61170000000000002</v>
      </c>
    </row>
    <row r="120" spans="2:8">
      <c r="B120" s="20">
        <v>7</v>
      </c>
      <c r="C120" s="33">
        <v>0.33189999999999997</v>
      </c>
      <c r="D120" s="33">
        <v>-0.29549999999999998</v>
      </c>
      <c r="F120" s="20">
        <v>7</v>
      </c>
      <c r="G120" s="33">
        <v>0.58220000000000005</v>
      </c>
      <c r="H120" s="33">
        <v>-0.58220000000000005</v>
      </c>
    </row>
    <row r="121" spans="2:8">
      <c r="B121" s="20">
        <v>8</v>
      </c>
      <c r="C121" s="33">
        <v>0.31190000000000001</v>
      </c>
      <c r="D121" s="33">
        <v>-0.28449999999999998</v>
      </c>
      <c r="F121" s="20">
        <v>8</v>
      </c>
      <c r="G121" s="33">
        <v>0.56740000000000002</v>
      </c>
      <c r="H121" s="33">
        <v>-0.56740000000000002</v>
      </c>
    </row>
    <row r="122" spans="2:8">
      <c r="B122" s="20">
        <v>9</v>
      </c>
      <c r="C122" s="33">
        <v>0.29880000000000001</v>
      </c>
      <c r="D122" s="33">
        <v>-0.27739999999999998</v>
      </c>
      <c r="F122" s="20">
        <v>9</v>
      </c>
      <c r="G122" s="33">
        <v>0.54069999999999996</v>
      </c>
      <c r="H122" s="33">
        <v>-0.54069999999999996</v>
      </c>
    </row>
    <row r="123" spans="2:8">
      <c r="B123" s="20">
        <v>10</v>
      </c>
      <c r="C123" s="33">
        <v>0.2908</v>
      </c>
      <c r="D123" s="33">
        <v>-0.27300000000000002</v>
      </c>
      <c r="F123" s="20">
        <v>10</v>
      </c>
      <c r="G123" s="33">
        <v>0.54810000000000003</v>
      </c>
      <c r="H123" s="33">
        <v>-0.54810000000000003</v>
      </c>
    </row>
    <row r="124" spans="2:8">
      <c r="B124" s="20">
        <v>11</v>
      </c>
      <c r="C124" s="33">
        <v>0.28799999999999998</v>
      </c>
      <c r="D124" s="33">
        <v>-0.27139999999999997</v>
      </c>
      <c r="F124" s="20">
        <v>11</v>
      </c>
      <c r="G124" s="33">
        <v>0.54500000000000004</v>
      </c>
      <c r="H124" s="33">
        <v>-0.54500000000000004</v>
      </c>
    </row>
    <row r="125" spans="2:8">
      <c r="B125" s="20">
        <v>12</v>
      </c>
      <c r="C125" s="33">
        <v>0.28989999999999999</v>
      </c>
      <c r="D125" s="33">
        <v>-0.27260000000000001</v>
      </c>
      <c r="F125" s="20">
        <v>12</v>
      </c>
      <c r="G125" s="33">
        <v>0.53559999999999997</v>
      </c>
      <c r="H125" s="33">
        <v>-0.53559999999999997</v>
      </c>
    </row>
    <row r="126" spans="2:8">
      <c r="B126" s="20">
        <v>13</v>
      </c>
      <c r="C126" s="33">
        <v>0.29549999999999998</v>
      </c>
      <c r="D126" s="33">
        <v>-0.2762</v>
      </c>
      <c r="F126" s="20">
        <v>13</v>
      </c>
      <c r="G126" s="33">
        <v>0.53890000000000005</v>
      </c>
      <c r="H126" s="33">
        <v>-0.53890000000000005</v>
      </c>
    </row>
    <row r="127" spans="2:8">
      <c r="B127" s="20">
        <v>14</v>
      </c>
      <c r="C127" s="33">
        <v>0.30359999999999998</v>
      </c>
      <c r="D127" s="33">
        <v>-0.28120000000000001</v>
      </c>
      <c r="F127" s="20">
        <v>14</v>
      </c>
      <c r="G127" s="33">
        <v>0.54890000000000005</v>
      </c>
      <c r="H127" s="33">
        <v>-0.54890000000000005</v>
      </c>
    </row>
    <row r="128" spans="2:8">
      <c r="B128" s="20">
        <v>15</v>
      </c>
      <c r="C128" s="33">
        <v>0.3135</v>
      </c>
      <c r="D128" s="33">
        <v>-0.28739999999999999</v>
      </c>
      <c r="F128" s="20">
        <v>15</v>
      </c>
      <c r="G128" s="33">
        <v>0.55330000000000001</v>
      </c>
      <c r="H128" s="33">
        <v>-0.55330000000000001</v>
      </c>
    </row>
    <row r="129" spans="2:8">
      <c r="B129" s="20">
        <v>16</v>
      </c>
      <c r="C129" s="33">
        <v>0.3251</v>
      </c>
      <c r="D129" s="33">
        <v>-0.29459999999999997</v>
      </c>
      <c r="F129" s="20">
        <v>16</v>
      </c>
      <c r="G129" s="33">
        <v>0.54400000000000004</v>
      </c>
      <c r="H129" s="33">
        <v>-0.54400000000000004</v>
      </c>
    </row>
    <row r="130" spans="2:8">
      <c r="B130" s="20">
        <v>17</v>
      </c>
      <c r="C130" s="33">
        <v>0.33800000000000002</v>
      </c>
      <c r="D130" s="33">
        <v>-0.3024</v>
      </c>
      <c r="F130" s="20">
        <v>17</v>
      </c>
      <c r="G130" s="33">
        <v>0.5302</v>
      </c>
      <c r="H130" s="33">
        <v>-0.5302</v>
      </c>
    </row>
    <row r="131" spans="2:8">
      <c r="B131" s="20">
        <v>18</v>
      </c>
      <c r="C131" s="33">
        <v>0.35199999999999998</v>
      </c>
      <c r="D131" s="33">
        <v>-0.31090000000000001</v>
      </c>
      <c r="F131" s="20">
        <v>18</v>
      </c>
      <c r="G131" s="33">
        <v>0.52270000000000005</v>
      </c>
      <c r="H131" s="33">
        <v>-0.52270000000000005</v>
      </c>
    </row>
    <row r="132" spans="2:8">
      <c r="B132" s="20">
        <v>19</v>
      </c>
      <c r="C132" s="33">
        <v>0.36659999999999998</v>
      </c>
      <c r="D132" s="33">
        <v>-0.31950000000000001</v>
      </c>
      <c r="F132" s="20">
        <v>19</v>
      </c>
      <c r="G132" s="33">
        <v>0.52229999999999999</v>
      </c>
      <c r="H132" s="33">
        <v>-0.52229999999999999</v>
      </c>
    </row>
    <row r="133" spans="2:8">
      <c r="B133" s="20">
        <v>20</v>
      </c>
      <c r="C133" s="33">
        <v>0.38159999999999999</v>
      </c>
      <c r="D133" s="33">
        <v>-0.32819999999999999</v>
      </c>
      <c r="F133" s="20">
        <v>20</v>
      </c>
      <c r="G133" s="33">
        <v>0.5272</v>
      </c>
      <c r="H133" s="33">
        <v>-0.5272</v>
      </c>
    </row>
    <row r="134" spans="2:8">
      <c r="B134" s="20">
        <v>21</v>
      </c>
      <c r="C134" s="33">
        <v>0.3967</v>
      </c>
      <c r="D134" s="33">
        <v>-0.33679999999999999</v>
      </c>
      <c r="F134" s="20">
        <v>21</v>
      </c>
      <c r="G134" s="33">
        <v>0.53600000000000003</v>
      </c>
      <c r="H134" s="33">
        <v>-0.53600000000000003</v>
      </c>
    </row>
    <row r="135" spans="2:8">
      <c r="B135" s="20">
        <v>22</v>
      </c>
      <c r="C135" s="33">
        <v>0.41149999999999998</v>
      </c>
      <c r="D135" s="33">
        <v>-0.34520000000000001</v>
      </c>
      <c r="F135" s="20">
        <v>22</v>
      </c>
      <c r="G135" s="33">
        <v>0.54810000000000003</v>
      </c>
      <c r="H135" s="33">
        <v>-0.54810000000000003</v>
      </c>
    </row>
    <row r="136" spans="2:8">
      <c r="B136" s="20">
        <v>23</v>
      </c>
      <c r="C136" s="33">
        <v>0.42570000000000002</v>
      </c>
      <c r="D136" s="33">
        <v>-0.35320000000000001</v>
      </c>
      <c r="F136" s="20">
        <v>23</v>
      </c>
      <c r="G136" s="33">
        <v>0.56320000000000003</v>
      </c>
      <c r="H136" s="33">
        <v>-0.56320000000000003</v>
      </c>
    </row>
    <row r="137" spans="2:8">
      <c r="B137" s="20">
        <v>24</v>
      </c>
      <c r="C137" s="33">
        <v>0.43909999999999999</v>
      </c>
      <c r="D137" s="33">
        <v>-0.36070000000000002</v>
      </c>
      <c r="F137" s="20">
        <v>24</v>
      </c>
      <c r="G137" s="33">
        <v>0.58099999999999996</v>
      </c>
      <c r="H137" s="33">
        <v>-0.58099999999999996</v>
      </c>
    </row>
    <row r="138" spans="2:8">
      <c r="B138" s="20">
        <v>25</v>
      </c>
      <c r="C138" s="33">
        <v>0.45179999999999998</v>
      </c>
      <c r="D138" s="33">
        <v>-0.36780000000000002</v>
      </c>
      <c r="F138" s="20">
        <v>25</v>
      </c>
      <c r="G138" s="33">
        <v>0.60109999999999997</v>
      </c>
      <c r="H138" s="33">
        <v>-0.60109999999999997</v>
      </c>
    </row>
    <row r="139" spans="2:8">
      <c r="B139" s="20">
        <v>26</v>
      </c>
      <c r="C139" s="33">
        <v>0.46589999999999998</v>
      </c>
      <c r="D139" s="33">
        <v>-0.37569999999999998</v>
      </c>
      <c r="F139" s="20">
        <v>26</v>
      </c>
      <c r="G139" s="33">
        <v>0.62290000000000001</v>
      </c>
      <c r="H139" s="33">
        <v>-0.62290000000000001</v>
      </c>
    </row>
    <row r="140" spans="2:8">
      <c r="B140" s="20">
        <v>27</v>
      </c>
      <c r="C140" s="33">
        <v>0.4803</v>
      </c>
      <c r="D140" s="33">
        <v>-0.38379999999999997</v>
      </c>
      <c r="F140" s="20">
        <v>27</v>
      </c>
      <c r="G140" s="33">
        <v>0.64419999999999999</v>
      </c>
      <c r="H140" s="33">
        <v>-0.64419999999999999</v>
      </c>
    </row>
    <row r="141" spans="2:8">
      <c r="B141" s="20">
        <v>28</v>
      </c>
      <c r="C141" s="33">
        <v>0.49309999999999998</v>
      </c>
      <c r="D141" s="33">
        <v>-0.39090000000000003</v>
      </c>
      <c r="F141" s="20">
        <v>28</v>
      </c>
      <c r="G141" s="33">
        <v>0.66249999999999998</v>
      </c>
      <c r="H141" s="33">
        <v>-0.66249999999999998</v>
      </c>
    </row>
    <row r="142" spans="2:8">
      <c r="B142" s="20">
        <v>29</v>
      </c>
      <c r="C142" s="33">
        <v>0.50219999999999998</v>
      </c>
      <c r="D142" s="33">
        <v>-0.39600000000000002</v>
      </c>
      <c r="F142" s="20">
        <v>29</v>
      </c>
      <c r="G142" s="33">
        <v>0.6754</v>
      </c>
      <c r="H142" s="33">
        <v>-0.6754</v>
      </c>
    </row>
    <row r="143" spans="2:8">
      <c r="B143" s="21">
        <v>30</v>
      </c>
      <c r="C143" s="34">
        <v>0.50570000000000004</v>
      </c>
      <c r="D143" s="34">
        <v>-0.39789999999999998</v>
      </c>
      <c r="F143" s="21">
        <v>30</v>
      </c>
      <c r="G143" s="34">
        <v>0.68020000000000003</v>
      </c>
      <c r="H143" s="34">
        <v>-0.68020000000000003</v>
      </c>
    </row>
    <row r="146" spans="1:112">
      <c r="A146" s="26" t="s">
        <v>141</v>
      </c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</row>
    <row r="148" spans="1:112">
      <c r="B148" s="14" t="s">
        <v>147</v>
      </c>
    </row>
    <row r="150" spans="1:112">
      <c r="C150" s="1" t="s">
        <v>142</v>
      </c>
      <c r="D150" s="1" t="s">
        <v>143</v>
      </c>
      <c r="E150" s="1" t="s">
        <v>144</v>
      </c>
      <c r="F150" s="1" t="s">
        <v>145</v>
      </c>
      <c r="G150" s="1" t="s">
        <v>146</v>
      </c>
      <c r="I150" s="1" t="s">
        <v>148</v>
      </c>
      <c r="J150" s="1" t="s">
        <v>149</v>
      </c>
    </row>
    <row r="151" spans="1:112">
      <c r="B151" s="35" t="s">
        <v>142</v>
      </c>
      <c r="C151" s="3">
        <v>1</v>
      </c>
      <c r="D151" s="3"/>
      <c r="E151" s="3"/>
      <c r="F151" s="3"/>
      <c r="G151" s="3"/>
      <c r="I151" s="3" t="s">
        <v>142</v>
      </c>
      <c r="J151" s="3">
        <v>1.3721000000000001</v>
      </c>
    </row>
    <row r="152" spans="1:112">
      <c r="B152" s="35" t="s">
        <v>143</v>
      </c>
      <c r="C152" s="4">
        <v>0.97</v>
      </c>
      <c r="D152" s="4">
        <v>1</v>
      </c>
      <c r="E152" s="4"/>
      <c r="F152" s="4"/>
      <c r="G152" s="4"/>
      <c r="I152" s="4" t="s">
        <v>143</v>
      </c>
      <c r="J152" s="4">
        <v>0.90390000000000004</v>
      </c>
    </row>
    <row r="153" spans="1:112">
      <c r="B153" s="35" t="s">
        <v>144</v>
      </c>
      <c r="C153" s="4">
        <v>1</v>
      </c>
      <c r="D153" s="4">
        <v>0.86</v>
      </c>
      <c r="E153" s="4">
        <v>1</v>
      </c>
      <c r="F153" s="4"/>
      <c r="G153" s="4"/>
      <c r="I153" s="4" t="s">
        <v>144</v>
      </c>
      <c r="J153" s="4">
        <v>0.43390000000000001</v>
      </c>
    </row>
    <row r="154" spans="1:112">
      <c r="B154" s="35" t="s">
        <v>145</v>
      </c>
      <c r="C154" s="4">
        <v>0.75</v>
      </c>
      <c r="D154" s="4">
        <v>0.67</v>
      </c>
      <c r="E154" s="4">
        <v>0.84</v>
      </c>
      <c r="F154" s="4">
        <v>1</v>
      </c>
      <c r="G154" s="4"/>
      <c r="I154" s="4" t="s">
        <v>145</v>
      </c>
      <c r="J154" s="4">
        <v>0.93789999999999996</v>
      </c>
    </row>
    <row r="155" spans="1:112">
      <c r="B155" s="35" t="s">
        <v>146</v>
      </c>
      <c r="C155" s="7">
        <v>1</v>
      </c>
      <c r="D155" s="7">
        <v>0.97</v>
      </c>
      <c r="E155" s="7">
        <v>1</v>
      </c>
      <c r="F155" s="7">
        <v>0.75</v>
      </c>
      <c r="G155" s="7">
        <v>1</v>
      </c>
      <c r="I155" s="7" t="s">
        <v>146</v>
      </c>
      <c r="J155" s="7">
        <v>0.79849999999999999</v>
      </c>
    </row>
    <row r="158" spans="1:112">
      <c r="B158" s="14" t="s">
        <v>150</v>
      </c>
      <c r="W158" s="14" t="s">
        <v>170</v>
      </c>
      <c r="AR158" s="14" t="s">
        <v>144</v>
      </c>
      <c r="BM158" s="14" t="s">
        <v>171</v>
      </c>
      <c r="CH158" s="14" t="s">
        <v>146</v>
      </c>
      <c r="DC158" s="14" t="s">
        <v>172</v>
      </c>
    </row>
    <row r="159" spans="1:112">
      <c r="B159" s="14"/>
    </row>
    <row r="160" spans="1:112">
      <c r="C160" s="1" t="s">
        <v>151</v>
      </c>
      <c r="D160" s="1" t="s">
        <v>152</v>
      </c>
      <c r="E160" s="1" t="s">
        <v>153</v>
      </c>
      <c r="F160" s="1" t="s">
        <v>154</v>
      </c>
      <c r="G160" s="1" t="s">
        <v>155</v>
      </c>
      <c r="H160" s="1" t="s">
        <v>156</v>
      </c>
      <c r="I160" s="1" t="s">
        <v>157</v>
      </c>
      <c r="J160" s="1" t="s">
        <v>158</v>
      </c>
      <c r="K160" s="1" t="s">
        <v>159</v>
      </c>
      <c r="L160" s="1" t="s">
        <v>160</v>
      </c>
      <c r="M160" s="1" t="s">
        <v>161</v>
      </c>
      <c r="N160" s="1" t="s">
        <v>162</v>
      </c>
      <c r="O160" s="1" t="s">
        <v>163</v>
      </c>
      <c r="P160" s="1" t="s">
        <v>164</v>
      </c>
      <c r="Q160" s="1" t="s">
        <v>165</v>
      </c>
      <c r="R160" s="1" t="s">
        <v>166</v>
      </c>
      <c r="S160" s="1" t="s">
        <v>167</v>
      </c>
      <c r="T160" s="1" t="s">
        <v>168</v>
      </c>
      <c r="U160" s="1" t="s">
        <v>169</v>
      </c>
      <c r="X160" s="1" t="s">
        <v>151</v>
      </c>
      <c r="Y160" s="1" t="s">
        <v>152</v>
      </c>
      <c r="Z160" s="1" t="s">
        <v>153</v>
      </c>
      <c r="AA160" s="1" t="s">
        <v>154</v>
      </c>
      <c r="AB160" s="1" t="s">
        <v>155</v>
      </c>
      <c r="AC160" s="1" t="s">
        <v>156</v>
      </c>
      <c r="AD160" s="1" t="s">
        <v>157</v>
      </c>
      <c r="AE160" s="1" t="s">
        <v>158</v>
      </c>
      <c r="AF160" s="1" t="s">
        <v>159</v>
      </c>
      <c r="AG160" s="1" t="s">
        <v>160</v>
      </c>
      <c r="AH160" s="1" t="s">
        <v>161</v>
      </c>
      <c r="AI160" s="1" t="s">
        <v>162</v>
      </c>
      <c r="AJ160" s="1" t="s">
        <v>163</v>
      </c>
      <c r="AK160" s="1" t="s">
        <v>164</v>
      </c>
      <c r="AL160" s="1" t="s">
        <v>165</v>
      </c>
      <c r="AM160" s="1" t="s">
        <v>166</v>
      </c>
      <c r="AN160" s="1" t="s">
        <v>167</v>
      </c>
      <c r="AO160" s="1" t="s">
        <v>168</v>
      </c>
      <c r="AP160" s="1" t="s">
        <v>169</v>
      </c>
      <c r="AS160" s="1" t="s">
        <v>151</v>
      </c>
      <c r="AT160" s="1" t="s">
        <v>152</v>
      </c>
      <c r="AU160" s="1" t="s">
        <v>153</v>
      </c>
      <c r="AV160" s="1" t="s">
        <v>154</v>
      </c>
      <c r="AW160" s="1" t="s">
        <v>155</v>
      </c>
      <c r="AX160" s="1" t="s">
        <v>156</v>
      </c>
      <c r="AY160" s="1" t="s">
        <v>157</v>
      </c>
      <c r="AZ160" s="1" t="s">
        <v>158</v>
      </c>
      <c r="BA160" s="1" t="s">
        <v>159</v>
      </c>
      <c r="BB160" s="1" t="s">
        <v>160</v>
      </c>
      <c r="BC160" s="1" t="s">
        <v>161</v>
      </c>
      <c r="BD160" s="1" t="s">
        <v>162</v>
      </c>
      <c r="BE160" s="1" t="s">
        <v>163</v>
      </c>
      <c r="BF160" s="1" t="s">
        <v>164</v>
      </c>
      <c r="BG160" s="1" t="s">
        <v>165</v>
      </c>
      <c r="BH160" s="1" t="s">
        <v>166</v>
      </c>
      <c r="BI160" s="1" t="s">
        <v>167</v>
      </c>
      <c r="BJ160" s="1" t="s">
        <v>168</v>
      </c>
      <c r="BK160" s="1" t="s">
        <v>169</v>
      </c>
      <c r="BN160" s="1" t="s">
        <v>151</v>
      </c>
      <c r="BO160" s="1" t="s">
        <v>152</v>
      </c>
      <c r="BP160" s="1" t="s">
        <v>153</v>
      </c>
      <c r="BQ160" s="1" t="s">
        <v>154</v>
      </c>
      <c r="BR160" s="1" t="s">
        <v>155</v>
      </c>
      <c r="BS160" s="1" t="s">
        <v>156</v>
      </c>
      <c r="BT160" s="1" t="s">
        <v>157</v>
      </c>
      <c r="BU160" s="1" t="s">
        <v>158</v>
      </c>
      <c r="BV160" s="1" t="s">
        <v>159</v>
      </c>
      <c r="BW160" s="1" t="s">
        <v>160</v>
      </c>
      <c r="BX160" s="1" t="s">
        <v>161</v>
      </c>
      <c r="BY160" s="1" t="s">
        <v>162</v>
      </c>
      <c r="BZ160" s="1" t="s">
        <v>163</v>
      </c>
      <c r="CA160" s="1" t="s">
        <v>164</v>
      </c>
      <c r="CB160" s="1" t="s">
        <v>165</v>
      </c>
      <c r="CC160" s="1" t="s">
        <v>166</v>
      </c>
      <c r="CD160" s="1" t="s">
        <v>167</v>
      </c>
      <c r="CE160" s="1" t="s">
        <v>168</v>
      </c>
      <c r="CF160" s="1" t="s">
        <v>169</v>
      </c>
      <c r="CI160" s="1" t="s">
        <v>151</v>
      </c>
      <c r="CJ160" s="1" t="s">
        <v>152</v>
      </c>
      <c r="CK160" s="1" t="s">
        <v>153</v>
      </c>
      <c r="CL160" s="1" t="s">
        <v>154</v>
      </c>
      <c r="CM160" s="1" t="s">
        <v>155</v>
      </c>
      <c r="CN160" s="1" t="s">
        <v>156</v>
      </c>
      <c r="CO160" s="1" t="s">
        <v>157</v>
      </c>
      <c r="CP160" s="1" t="s">
        <v>158</v>
      </c>
      <c r="CQ160" s="1" t="s">
        <v>159</v>
      </c>
      <c r="CR160" s="1" t="s">
        <v>160</v>
      </c>
      <c r="CS160" s="1" t="s">
        <v>161</v>
      </c>
      <c r="CT160" s="1" t="s">
        <v>162</v>
      </c>
      <c r="CU160" s="1" t="s">
        <v>163</v>
      </c>
      <c r="CV160" s="1" t="s">
        <v>164</v>
      </c>
      <c r="CW160" s="1" t="s">
        <v>165</v>
      </c>
      <c r="CX160" s="1" t="s">
        <v>166</v>
      </c>
      <c r="CY160" s="1" t="s">
        <v>167</v>
      </c>
      <c r="CZ160" s="1" t="s">
        <v>168</v>
      </c>
      <c r="DA160" s="1" t="s">
        <v>169</v>
      </c>
      <c r="DC160" s="1" t="s">
        <v>173</v>
      </c>
      <c r="DD160" s="1" t="s">
        <v>142</v>
      </c>
      <c r="DE160" s="1" t="s">
        <v>143</v>
      </c>
      <c r="DF160" s="1" t="s">
        <v>144</v>
      </c>
      <c r="DG160" s="1" t="s">
        <v>145</v>
      </c>
      <c r="DH160" s="1" t="s">
        <v>146</v>
      </c>
    </row>
    <row r="161" spans="2:112">
      <c r="B161" s="2" t="s">
        <v>151</v>
      </c>
      <c r="C161" s="19">
        <v>1</v>
      </c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W161" s="2" t="s">
        <v>151</v>
      </c>
      <c r="X161" s="19">
        <v>1</v>
      </c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R161" s="2" t="s">
        <v>151</v>
      </c>
      <c r="AS161" s="19">
        <v>1</v>
      </c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M161" s="2" t="s">
        <v>151</v>
      </c>
      <c r="BN161" s="19">
        <v>1</v>
      </c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H161" s="2" t="s">
        <v>151</v>
      </c>
      <c r="CI161" s="19">
        <v>1</v>
      </c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C161" s="3" t="s">
        <v>151</v>
      </c>
      <c r="DD161" s="3">
        <v>2.2915999999999999</v>
      </c>
      <c r="DE161" s="3">
        <v>2.8778000000000001</v>
      </c>
      <c r="DF161" s="3">
        <v>2.5337999999999998</v>
      </c>
      <c r="DG161" s="3">
        <v>3.8734000000000002</v>
      </c>
      <c r="DH161" s="3">
        <v>2.4298999999999999</v>
      </c>
    </row>
    <row r="162" spans="2:112">
      <c r="B162" s="2" t="s">
        <v>152</v>
      </c>
      <c r="C162" s="20">
        <v>0</v>
      </c>
      <c r="D162" s="20">
        <v>1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W162" s="2" t="s">
        <v>152</v>
      </c>
      <c r="X162" s="20">
        <v>0.09</v>
      </c>
      <c r="Y162" s="20">
        <v>1</v>
      </c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R162" s="2" t="s">
        <v>152</v>
      </c>
      <c r="AS162" s="20">
        <v>0.18</v>
      </c>
      <c r="AT162" s="20">
        <v>1</v>
      </c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M162" s="2" t="s">
        <v>152</v>
      </c>
      <c r="BN162" s="20">
        <v>0.02</v>
      </c>
      <c r="BO162" s="20">
        <v>1</v>
      </c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H162" s="2" t="s">
        <v>152</v>
      </c>
      <c r="CI162" s="20">
        <v>0</v>
      </c>
      <c r="CJ162" s="20">
        <v>1</v>
      </c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C162" s="4" t="s">
        <v>152</v>
      </c>
      <c r="DD162" s="4">
        <v>2.0000000000000001E-4</v>
      </c>
      <c r="DE162" s="4">
        <v>4.0000000000000002E-4</v>
      </c>
      <c r="DF162" s="4">
        <v>2.0000000000000001E-4</v>
      </c>
      <c r="DG162" s="4">
        <v>1.6000000000000001E-3</v>
      </c>
      <c r="DH162" s="4">
        <v>2.9999999999999997E-4</v>
      </c>
    </row>
    <row r="163" spans="2:112">
      <c r="B163" s="2" t="s">
        <v>153</v>
      </c>
      <c r="C163" s="20">
        <v>0.3</v>
      </c>
      <c r="D163" s="20">
        <v>0.3</v>
      </c>
      <c r="E163" s="20">
        <v>1</v>
      </c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W163" s="2" t="s">
        <v>153</v>
      </c>
      <c r="X163" s="20">
        <v>0.04</v>
      </c>
      <c r="Y163" s="20">
        <v>0.51</v>
      </c>
      <c r="Z163" s="20">
        <v>1</v>
      </c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R163" s="2" t="s">
        <v>153</v>
      </c>
      <c r="AS163" s="20">
        <v>0</v>
      </c>
      <c r="AT163" s="20">
        <v>0.35</v>
      </c>
      <c r="AU163" s="20">
        <v>1</v>
      </c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M163" s="2" t="s">
        <v>153</v>
      </c>
      <c r="BN163" s="20">
        <v>0</v>
      </c>
      <c r="BO163" s="20">
        <v>0.47</v>
      </c>
      <c r="BP163" s="20">
        <v>1</v>
      </c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H163" s="2" t="s">
        <v>153</v>
      </c>
      <c r="CI163" s="20">
        <v>0.3</v>
      </c>
      <c r="CJ163" s="20">
        <v>0.3</v>
      </c>
      <c r="CK163" s="20">
        <v>1</v>
      </c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C163" s="4" t="s">
        <v>153</v>
      </c>
      <c r="DD163" s="4">
        <v>2.63E-2</v>
      </c>
      <c r="DE163" s="4">
        <v>3.4000000000000002E-2</v>
      </c>
      <c r="DF163" s="4">
        <v>3.2199999999999999E-2</v>
      </c>
      <c r="DG163" s="4">
        <v>1.04E-2</v>
      </c>
      <c r="DH163" s="4">
        <v>2.7900000000000001E-2</v>
      </c>
    </row>
    <row r="164" spans="2:112">
      <c r="B164" s="2" t="s">
        <v>154</v>
      </c>
      <c r="C164" s="20">
        <v>0.46</v>
      </c>
      <c r="D164" s="20">
        <v>0.48</v>
      </c>
      <c r="E164" s="20">
        <v>0.42</v>
      </c>
      <c r="F164" s="20">
        <v>1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W164" s="2" t="s">
        <v>154</v>
      </c>
      <c r="X164" s="20">
        <v>0.35</v>
      </c>
      <c r="Y164" s="20">
        <v>0.67</v>
      </c>
      <c r="Z164" s="20">
        <v>0.25</v>
      </c>
      <c r="AA164" s="20">
        <v>1</v>
      </c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R164" s="2" t="s">
        <v>154</v>
      </c>
      <c r="AS164" s="20">
        <v>0.41</v>
      </c>
      <c r="AT164" s="20">
        <v>0.41</v>
      </c>
      <c r="AU164" s="20">
        <v>0.09</v>
      </c>
      <c r="AV164" s="20">
        <v>1</v>
      </c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M164" s="2" t="s">
        <v>154</v>
      </c>
      <c r="BN164" s="20">
        <v>0.32</v>
      </c>
      <c r="BO164" s="20">
        <v>0.4</v>
      </c>
      <c r="BP164" s="20">
        <v>0.94</v>
      </c>
      <c r="BQ164" s="20">
        <v>1</v>
      </c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H164" s="2" t="s">
        <v>154</v>
      </c>
      <c r="CI164" s="20">
        <v>0.46</v>
      </c>
      <c r="CJ164" s="20">
        <v>0.48</v>
      </c>
      <c r="CK164" s="20">
        <v>0.42</v>
      </c>
      <c r="CL164" s="20">
        <v>1</v>
      </c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C164" s="4" t="s">
        <v>154</v>
      </c>
      <c r="DD164" s="4">
        <v>0.29830000000000001</v>
      </c>
      <c r="DE164" s="4">
        <v>0.41689999999999999</v>
      </c>
      <c r="DF164" s="4">
        <v>0.32519999999999999</v>
      </c>
      <c r="DG164" s="4">
        <v>9.8100000000000007E-2</v>
      </c>
      <c r="DH164" s="4">
        <v>0.31630000000000003</v>
      </c>
    </row>
    <row r="165" spans="2:112">
      <c r="B165" s="2" t="s">
        <v>155</v>
      </c>
      <c r="C165" s="20">
        <v>0.72</v>
      </c>
      <c r="D165" s="20">
        <v>0</v>
      </c>
      <c r="E165" s="20">
        <v>0</v>
      </c>
      <c r="F165" s="20">
        <v>0.17</v>
      </c>
      <c r="G165" s="20">
        <v>1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W165" s="2" t="s">
        <v>155</v>
      </c>
      <c r="X165" s="20">
        <v>0.48</v>
      </c>
      <c r="Y165" s="20">
        <v>0.43</v>
      </c>
      <c r="Z165" s="20">
        <v>0.19</v>
      </c>
      <c r="AA165" s="20">
        <v>0.09</v>
      </c>
      <c r="AB165" s="20">
        <v>1</v>
      </c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R165" s="2" t="s">
        <v>155</v>
      </c>
      <c r="AS165" s="20">
        <v>0.64</v>
      </c>
      <c r="AT165" s="20">
        <v>0.01</v>
      </c>
      <c r="AU165" s="20">
        <v>0</v>
      </c>
      <c r="AV165" s="20">
        <v>7.0000000000000007E-2</v>
      </c>
      <c r="AW165" s="20">
        <v>1</v>
      </c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M165" s="2" t="s">
        <v>155</v>
      </c>
      <c r="BN165" s="20">
        <v>0.67</v>
      </c>
      <c r="BO165" s="20">
        <v>0</v>
      </c>
      <c r="BP165" s="20">
        <v>0</v>
      </c>
      <c r="BQ165" s="20">
        <v>0</v>
      </c>
      <c r="BR165" s="20">
        <v>1</v>
      </c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H165" s="2" t="s">
        <v>155</v>
      </c>
      <c r="CI165" s="20">
        <v>0.72</v>
      </c>
      <c r="CJ165" s="20">
        <v>0</v>
      </c>
      <c r="CK165" s="20">
        <v>0</v>
      </c>
      <c r="CL165" s="20">
        <v>0.17</v>
      </c>
      <c r="CM165" s="20">
        <v>1</v>
      </c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C165" s="4" t="s">
        <v>155</v>
      </c>
      <c r="DD165" s="4">
        <v>1.9635</v>
      </c>
      <c r="DE165" s="4">
        <v>2.4051</v>
      </c>
      <c r="DF165" s="4">
        <v>2.1884999999999999</v>
      </c>
      <c r="DG165" s="4">
        <v>3.4333</v>
      </c>
      <c r="DH165" s="4">
        <v>2.0819999999999999</v>
      </c>
    </row>
    <row r="166" spans="2:112">
      <c r="B166" s="2" t="s">
        <v>156</v>
      </c>
      <c r="C166" s="20">
        <v>1</v>
      </c>
      <c r="D166" s="20">
        <v>0</v>
      </c>
      <c r="E166" s="20">
        <v>0</v>
      </c>
      <c r="F166" s="20">
        <v>0.21</v>
      </c>
      <c r="G166" s="20">
        <v>0.91</v>
      </c>
      <c r="H166" s="20">
        <v>1</v>
      </c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W166" s="2" t="s">
        <v>156</v>
      </c>
      <c r="X166" s="20">
        <v>0.8</v>
      </c>
      <c r="Y166" s="20">
        <v>0</v>
      </c>
      <c r="Z166" s="20">
        <v>0</v>
      </c>
      <c r="AA166" s="20">
        <v>0.25</v>
      </c>
      <c r="AB166" s="20">
        <v>0.98</v>
      </c>
      <c r="AC166" s="20">
        <v>1</v>
      </c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R166" s="2" t="s">
        <v>156</v>
      </c>
      <c r="AS166" s="20">
        <v>1</v>
      </c>
      <c r="AT166" s="20">
        <v>0</v>
      </c>
      <c r="AU166" s="20">
        <v>0</v>
      </c>
      <c r="AV166" s="20">
        <v>0.19</v>
      </c>
      <c r="AW166" s="20">
        <v>0.93</v>
      </c>
      <c r="AX166" s="20">
        <v>1</v>
      </c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M166" s="2" t="s">
        <v>156</v>
      </c>
      <c r="BN166" s="20">
        <v>0.65</v>
      </c>
      <c r="BO166" s="20">
        <v>0</v>
      </c>
      <c r="BP166" s="20">
        <v>0</v>
      </c>
      <c r="BQ166" s="20">
        <v>0</v>
      </c>
      <c r="BR166" s="20">
        <v>0.74</v>
      </c>
      <c r="BS166" s="20">
        <v>1</v>
      </c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H166" s="2" t="s">
        <v>156</v>
      </c>
      <c r="CI166" s="20">
        <v>1</v>
      </c>
      <c r="CJ166" s="20">
        <v>0</v>
      </c>
      <c r="CK166" s="20">
        <v>0</v>
      </c>
      <c r="CL166" s="20">
        <v>0.21</v>
      </c>
      <c r="CM166" s="20">
        <v>0.91</v>
      </c>
      <c r="CN166" s="20">
        <v>1</v>
      </c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C166" s="4" t="s">
        <v>156</v>
      </c>
      <c r="DD166" s="4">
        <v>2.1753999999999998</v>
      </c>
      <c r="DE166" s="4">
        <v>2.6419000000000001</v>
      </c>
      <c r="DF166" s="4">
        <v>2.4415</v>
      </c>
      <c r="DG166" s="4">
        <v>3.0686</v>
      </c>
      <c r="DH166" s="4">
        <v>2.3067000000000002</v>
      </c>
    </row>
    <row r="167" spans="2:112">
      <c r="B167" s="2" t="s">
        <v>157</v>
      </c>
      <c r="C167" s="20">
        <v>0.69</v>
      </c>
      <c r="D167" s="20">
        <v>0</v>
      </c>
      <c r="E167" s="20">
        <v>0</v>
      </c>
      <c r="F167" s="20">
        <v>0.04</v>
      </c>
      <c r="G167" s="20">
        <v>0.84</v>
      </c>
      <c r="H167" s="20">
        <v>0.88</v>
      </c>
      <c r="I167" s="20">
        <v>1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W167" s="2" t="s">
        <v>157</v>
      </c>
      <c r="X167" s="20">
        <v>0.52</v>
      </c>
      <c r="Y167" s="20">
        <v>0.08</v>
      </c>
      <c r="Z167" s="20">
        <v>7.0000000000000007E-2</v>
      </c>
      <c r="AA167" s="20">
        <v>0.1</v>
      </c>
      <c r="AB167" s="20">
        <v>0.76</v>
      </c>
      <c r="AC167" s="20">
        <v>0.89</v>
      </c>
      <c r="AD167" s="20">
        <v>1</v>
      </c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R167" s="2" t="s">
        <v>157</v>
      </c>
      <c r="AS167" s="20">
        <v>0.66</v>
      </c>
      <c r="AT167" s="20">
        <v>0</v>
      </c>
      <c r="AU167" s="20">
        <v>0</v>
      </c>
      <c r="AV167" s="20">
        <v>0.02</v>
      </c>
      <c r="AW167" s="20">
        <v>0.77</v>
      </c>
      <c r="AX167" s="20">
        <v>0.89</v>
      </c>
      <c r="AY167" s="20">
        <v>1</v>
      </c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M167" s="2" t="s">
        <v>157</v>
      </c>
      <c r="BN167" s="20">
        <v>0.7</v>
      </c>
      <c r="BO167" s="20">
        <v>0</v>
      </c>
      <c r="BP167" s="20">
        <v>0</v>
      </c>
      <c r="BQ167" s="20">
        <v>0.02</v>
      </c>
      <c r="BR167" s="20">
        <v>0.77</v>
      </c>
      <c r="BS167" s="20">
        <v>0.71</v>
      </c>
      <c r="BT167" s="20">
        <v>1</v>
      </c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H167" s="2" t="s">
        <v>157</v>
      </c>
      <c r="CI167" s="20">
        <v>0.69</v>
      </c>
      <c r="CJ167" s="20">
        <v>0</v>
      </c>
      <c r="CK167" s="20">
        <v>0</v>
      </c>
      <c r="CL167" s="20">
        <v>0.04</v>
      </c>
      <c r="CM167" s="20">
        <v>0.84</v>
      </c>
      <c r="CN167" s="20">
        <v>0.88</v>
      </c>
      <c r="CO167" s="20">
        <v>1</v>
      </c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C167" s="4" t="s">
        <v>157</v>
      </c>
      <c r="DD167" s="4">
        <v>2.0789</v>
      </c>
      <c r="DE167" s="4">
        <v>2.5487000000000002</v>
      </c>
      <c r="DF167" s="4">
        <v>2.3123999999999998</v>
      </c>
      <c r="DG167" s="4">
        <v>3.5853999999999999</v>
      </c>
      <c r="DH167" s="4">
        <v>2.2042999999999999</v>
      </c>
    </row>
    <row r="168" spans="2:112">
      <c r="B168" s="2" t="s">
        <v>158</v>
      </c>
      <c r="C168" s="20">
        <v>0</v>
      </c>
      <c r="D168" s="20">
        <v>0</v>
      </c>
      <c r="E168" s="20">
        <v>0</v>
      </c>
      <c r="F168" s="20">
        <v>0</v>
      </c>
      <c r="G168" s="20">
        <v>0.28999999999999998</v>
      </c>
      <c r="H168" s="20">
        <v>0.14000000000000001</v>
      </c>
      <c r="I168" s="20">
        <v>0.08</v>
      </c>
      <c r="J168" s="20">
        <v>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W168" s="2" t="s">
        <v>158</v>
      </c>
      <c r="X168" s="20">
        <v>0.17</v>
      </c>
      <c r="Y168" s="20">
        <v>0.18</v>
      </c>
      <c r="Z168" s="20">
        <v>0.06</v>
      </c>
      <c r="AA168" s="20">
        <v>0</v>
      </c>
      <c r="AB168" s="20">
        <v>0.28999999999999998</v>
      </c>
      <c r="AC168" s="20">
        <v>0.22</v>
      </c>
      <c r="AD168" s="20">
        <v>0.13</v>
      </c>
      <c r="AE168" s="20">
        <v>1</v>
      </c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R168" s="2" t="s">
        <v>158</v>
      </c>
      <c r="AS168" s="20">
        <v>0.06</v>
      </c>
      <c r="AT168" s="20">
        <v>0</v>
      </c>
      <c r="AU168" s="20">
        <v>0</v>
      </c>
      <c r="AV168" s="20">
        <v>0</v>
      </c>
      <c r="AW168" s="20">
        <v>0.25</v>
      </c>
      <c r="AX168" s="20">
        <v>0.24</v>
      </c>
      <c r="AY168" s="20">
        <v>0.08</v>
      </c>
      <c r="AZ168" s="20">
        <v>1</v>
      </c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M168" s="2" t="s">
        <v>158</v>
      </c>
      <c r="BN168" s="20">
        <v>0</v>
      </c>
      <c r="BO168" s="20">
        <v>0</v>
      </c>
      <c r="BP168" s="20">
        <v>0.19</v>
      </c>
      <c r="BQ168" s="20">
        <v>0.14000000000000001</v>
      </c>
      <c r="BR168" s="20">
        <v>0</v>
      </c>
      <c r="BS168" s="20">
        <v>0</v>
      </c>
      <c r="BT168" s="20">
        <v>0</v>
      </c>
      <c r="BU168" s="20">
        <v>1</v>
      </c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H168" s="2" t="s">
        <v>158</v>
      </c>
      <c r="CI168" s="20">
        <v>0</v>
      </c>
      <c r="CJ168" s="20">
        <v>0</v>
      </c>
      <c r="CK168" s="20">
        <v>0</v>
      </c>
      <c r="CL168" s="20">
        <v>0</v>
      </c>
      <c r="CM168" s="20">
        <v>0.28999999999999998</v>
      </c>
      <c r="CN168" s="20">
        <v>0.14000000000000001</v>
      </c>
      <c r="CO168" s="20">
        <v>0.08</v>
      </c>
      <c r="CP168" s="20">
        <v>1</v>
      </c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C168" s="4" t="s">
        <v>158</v>
      </c>
      <c r="DD168" s="4">
        <v>1.5654999999999999</v>
      </c>
      <c r="DE168" s="4">
        <v>1.9119999999999999</v>
      </c>
      <c r="DF168" s="4">
        <v>1.7282999999999999</v>
      </c>
      <c r="DG168" s="4">
        <v>1.9347000000000001</v>
      </c>
      <c r="DH168" s="4">
        <v>1.66</v>
      </c>
    </row>
    <row r="169" spans="2:112">
      <c r="B169" s="2" t="s">
        <v>159</v>
      </c>
      <c r="C169" s="20">
        <v>1</v>
      </c>
      <c r="D169" s="20">
        <v>1</v>
      </c>
      <c r="E169" s="20">
        <v>1</v>
      </c>
      <c r="F169" s="20">
        <v>1</v>
      </c>
      <c r="G169" s="20">
        <v>1</v>
      </c>
      <c r="H169" s="20">
        <v>1</v>
      </c>
      <c r="I169" s="20">
        <v>1</v>
      </c>
      <c r="J169" s="20">
        <v>1</v>
      </c>
      <c r="K169" s="20">
        <v>1</v>
      </c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W169" s="2" t="s">
        <v>159</v>
      </c>
      <c r="X169" s="20">
        <v>1</v>
      </c>
      <c r="Y169" s="20">
        <v>1</v>
      </c>
      <c r="Z169" s="20">
        <v>1</v>
      </c>
      <c r="AA169" s="20">
        <v>1</v>
      </c>
      <c r="AB169" s="20">
        <v>1</v>
      </c>
      <c r="AC169" s="20">
        <v>1</v>
      </c>
      <c r="AD169" s="20">
        <v>1</v>
      </c>
      <c r="AE169" s="20">
        <v>1</v>
      </c>
      <c r="AF169" s="20">
        <v>1</v>
      </c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R169" s="2" t="s">
        <v>159</v>
      </c>
      <c r="AS169" s="20">
        <v>1</v>
      </c>
      <c r="AT169" s="20">
        <v>1</v>
      </c>
      <c r="AU169" s="20">
        <v>1</v>
      </c>
      <c r="AV169" s="20">
        <v>1</v>
      </c>
      <c r="AW169" s="20">
        <v>1</v>
      </c>
      <c r="AX169" s="20">
        <v>0</v>
      </c>
      <c r="AY169" s="20">
        <v>1</v>
      </c>
      <c r="AZ169" s="20">
        <v>1</v>
      </c>
      <c r="BA169" s="20">
        <v>1</v>
      </c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M169" s="2" t="s">
        <v>159</v>
      </c>
      <c r="BN169" s="20">
        <v>0</v>
      </c>
      <c r="BO169" s="20">
        <v>1</v>
      </c>
      <c r="BP169" s="20">
        <v>1</v>
      </c>
      <c r="BQ169" s="20">
        <v>1</v>
      </c>
      <c r="BR169" s="20">
        <v>0</v>
      </c>
      <c r="BS169" s="20">
        <v>0</v>
      </c>
      <c r="BT169" s="20">
        <v>0</v>
      </c>
      <c r="BU169" s="20">
        <v>1</v>
      </c>
      <c r="BV169" s="20">
        <v>1</v>
      </c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H169" s="2" t="s">
        <v>159</v>
      </c>
      <c r="CI169" s="20">
        <v>1</v>
      </c>
      <c r="CJ169" s="20">
        <v>1</v>
      </c>
      <c r="CK169" s="20">
        <v>1</v>
      </c>
      <c r="CL169" s="20">
        <v>1</v>
      </c>
      <c r="CM169" s="20">
        <v>1</v>
      </c>
      <c r="CN169" s="20">
        <v>1</v>
      </c>
      <c r="CO169" s="20">
        <v>1</v>
      </c>
      <c r="CP169" s="20">
        <v>1</v>
      </c>
      <c r="CQ169" s="20">
        <v>1</v>
      </c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C169" s="4" t="s">
        <v>159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</row>
    <row r="170" spans="2:112">
      <c r="B170" s="2" t="s">
        <v>160</v>
      </c>
      <c r="C170" s="20">
        <v>0</v>
      </c>
      <c r="D170" s="20">
        <v>0.19</v>
      </c>
      <c r="E170" s="20">
        <v>0.26</v>
      </c>
      <c r="F170" s="20">
        <v>0.05</v>
      </c>
      <c r="G170" s="20">
        <v>0</v>
      </c>
      <c r="H170" s="20">
        <v>0</v>
      </c>
      <c r="I170" s="20">
        <v>0</v>
      </c>
      <c r="J170" s="20">
        <v>0.66</v>
      </c>
      <c r="K170" s="20">
        <v>1</v>
      </c>
      <c r="L170" s="20">
        <v>1</v>
      </c>
      <c r="M170" s="20"/>
      <c r="N170" s="20"/>
      <c r="O170" s="20"/>
      <c r="P170" s="20"/>
      <c r="Q170" s="20"/>
      <c r="R170" s="20"/>
      <c r="S170" s="20"/>
      <c r="T170" s="20"/>
      <c r="U170" s="20"/>
      <c r="W170" s="2" t="s">
        <v>160</v>
      </c>
      <c r="X170" s="20">
        <v>0</v>
      </c>
      <c r="Y170" s="20">
        <v>0.42</v>
      </c>
      <c r="Z170" s="20">
        <v>0.18</v>
      </c>
      <c r="AA170" s="20">
        <v>0.05</v>
      </c>
      <c r="AB170" s="20">
        <v>0</v>
      </c>
      <c r="AC170" s="20">
        <v>0</v>
      </c>
      <c r="AD170" s="20">
        <v>0</v>
      </c>
      <c r="AE170" s="20">
        <v>0.71</v>
      </c>
      <c r="AF170" s="20">
        <v>1</v>
      </c>
      <c r="AG170" s="20">
        <v>1</v>
      </c>
      <c r="AH170" s="20"/>
      <c r="AI170" s="20"/>
      <c r="AJ170" s="20"/>
      <c r="AK170" s="20"/>
      <c r="AL170" s="20"/>
      <c r="AM170" s="20"/>
      <c r="AN170" s="20"/>
      <c r="AO170" s="20"/>
      <c r="AP170" s="20"/>
      <c r="AR170" s="2" t="s">
        <v>160</v>
      </c>
      <c r="AS170" s="20">
        <v>0</v>
      </c>
      <c r="AT170" s="20">
        <v>0.22</v>
      </c>
      <c r="AU170" s="20">
        <v>0.21</v>
      </c>
      <c r="AV170" s="20">
        <v>0.01</v>
      </c>
      <c r="AW170" s="20">
        <v>0</v>
      </c>
      <c r="AX170" s="20">
        <v>0</v>
      </c>
      <c r="AY170" s="20">
        <v>0</v>
      </c>
      <c r="AZ170" s="20">
        <v>0.59</v>
      </c>
      <c r="BA170" s="20">
        <v>1</v>
      </c>
      <c r="BB170" s="20">
        <v>1</v>
      </c>
      <c r="BC170" s="20"/>
      <c r="BD170" s="20"/>
      <c r="BE170" s="20"/>
      <c r="BF170" s="20"/>
      <c r="BG170" s="20"/>
      <c r="BH170" s="20"/>
      <c r="BI170" s="20"/>
      <c r="BJ170" s="20"/>
      <c r="BK170" s="20"/>
      <c r="BM170" s="2" t="s">
        <v>160</v>
      </c>
      <c r="BN170" s="20">
        <v>0</v>
      </c>
      <c r="BO170" s="20">
        <v>0</v>
      </c>
      <c r="BP170" s="20">
        <v>0</v>
      </c>
      <c r="BQ170" s="20">
        <v>0</v>
      </c>
      <c r="BR170" s="20">
        <v>0</v>
      </c>
      <c r="BS170" s="20">
        <v>0</v>
      </c>
      <c r="BT170" s="20">
        <v>0</v>
      </c>
      <c r="BU170" s="20">
        <v>0</v>
      </c>
      <c r="BV170" s="20">
        <v>0</v>
      </c>
      <c r="BW170" s="20">
        <v>1</v>
      </c>
      <c r="BX170" s="20"/>
      <c r="BY170" s="20"/>
      <c r="BZ170" s="20"/>
      <c r="CA170" s="20"/>
      <c r="CB170" s="20"/>
      <c r="CC170" s="20"/>
      <c r="CD170" s="20"/>
      <c r="CE170" s="20"/>
      <c r="CF170" s="20"/>
      <c r="CH170" s="2" t="s">
        <v>160</v>
      </c>
      <c r="CI170" s="20">
        <v>0</v>
      </c>
      <c r="CJ170" s="20">
        <v>0.19</v>
      </c>
      <c r="CK170" s="20">
        <v>0.26</v>
      </c>
      <c r="CL170" s="20">
        <v>0.05</v>
      </c>
      <c r="CM170" s="20">
        <v>0</v>
      </c>
      <c r="CN170" s="20">
        <v>0</v>
      </c>
      <c r="CO170" s="20">
        <v>0</v>
      </c>
      <c r="CP170" s="20">
        <v>0.66</v>
      </c>
      <c r="CQ170" s="20">
        <v>1</v>
      </c>
      <c r="CR170" s="20">
        <v>1</v>
      </c>
      <c r="CS170" s="20"/>
      <c r="CT170" s="20"/>
      <c r="CU170" s="20"/>
      <c r="CV170" s="20"/>
      <c r="CW170" s="20"/>
      <c r="CX170" s="20"/>
      <c r="CY170" s="20"/>
      <c r="CZ170" s="20"/>
      <c r="DA170" s="20"/>
      <c r="DC170" s="4" t="s">
        <v>160</v>
      </c>
      <c r="DD170" s="4">
        <v>0.23649999999999999</v>
      </c>
      <c r="DE170" s="4">
        <v>0.30220000000000002</v>
      </c>
      <c r="DF170" s="4">
        <v>0.25419999999999998</v>
      </c>
      <c r="DG170" s="4">
        <v>0</v>
      </c>
      <c r="DH170" s="4">
        <v>0.25080000000000002</v>
      </c>
    </row>
    <row r="171" spans="2:112">
      <c r="B171" s="2" t="s">
        <v>161</v>
      </c>
      <c r="C171" s="20">
        <v>0.22</v>
      </c>
      <c r="D171" s="20">
        <v>0.26</v>
      </c>
      <c r="E171" s="20">
        <v>0.5</v>
      </c>
      <c r="F171" s="20">
        <v>0.2</v>
      </c>
      <c r="G171" s="20">
        <v>0</v>
      </c>
      <c r="H171" s="20">
        <v>0</v>
      </c>
      <c r="I171" s="20">
        <v>0</v>
      </c>
      <c r="J171" s="20">
        <v>0.76</v>
      </c>
      <c r="K171" s="20">
        <v>1</v>
      </c>
      <c r="L171" s="20">
        <v>0.65</v>
      </c>
      <c r="M171" s="20">
        <v>1</v>
      </c>
      <c r="N171" s="20"/>
      <c r="O171" s="20"/>
      <c r="P171" s="20"/>
      <c r="Q171" s="20"/>
      <c r="R171" s="20"/>
      <c r="S171" s="20"/>
      <c r="T171" s="20"/>
      <c r="U171" s="20"/>
      <c r="W171" s="2" t="s">
        <v>161</v>
      </c>
      <c r="X171" s="20">
        <v>0</v>
      </c>
      <c r="Y171" s="20">
        <v>0.28999999999999998</v>
      </c>
      <c r="Z171" s="20">
        <v>0.26</v>
      </c>
      <c r="AA171" s="20">
        <v>0.01</v>
      </c>
      <c r="AB171" s="20">
        <v>0.16</v>
      </c>
      <c r="AC171" s="20">
        <v>0</v>
      </c>
      <c r="AD171" s="20">
        <v>0.05</v>
      </c>
      <c r="AE171" s="20">
        <v>0.68</v>
      </c>
      <c r="AF171" s="20">
        <v>1</v>
      </c>
      <c r="AG171" s="20">
        <v>0.57999999999999996</v>
      </c>
      <c r="AH171" s="20">
        <v>1</v>
      </c>
      <c r="AI171" s="20"/>
      <c r="AJ171" s="20"/>
      <c r="AK171" s="20"/>
      <c r="AL171" s="20"/>
      <c r="AM171" s="20"/>
      <c r="AN171" s="20"/>
      <c r="AO171" s="20"/>
      <c r="AP171" s="20"/>
      <c r="AR171" s="2" t="s">
        <v>161</v>
      </c>
      <c r="AS171" s="20">
        <v>0.19</v>
      </c>
      <c r="AT171" s="20">
        <v>0.28000000000000003</v>
      </c>
      <c r="AU171" s="20">
        <v>0.2</v>
      </c>
      <c r="AV171" s="20">
        <v>0.13</v>
      </c>
      <c r="AW171" s="20">
        <v>0</v>
      </c>
      <c r="AX171" s="20">
        <v>0</v>
      </c>
      <c r="AY171" s="20">
        <v>0</v>
      </c>
      <c r="AZ171" s="20">
        <v>0.77</v>
      </c>
      <c r="BA171" s="20">
        <v>1</v>
      </c>
      <c r="BB171" s="20">
        <v>0.71</v>
      </c>
      <c r="BC171" s="20">
        <v>1</v>
      </c>
      <c r="BD171" s="20"/>
      <c r="BE171" s="20"/>
      <c r="BF171" s="20"/>
      <c r="BG171" s="20"/>
      <c r="BH171" s="20"/>
      <c r="BI171" s="20"/>
      <c r="BJ171" s="20"/>
      <c r="BK171" s="20"/>
      <c r="BM171" s="2" t="s">
        <v>161</v>
      </c>
      <c r="BN171" s="20">
        <v>0</v>
      </c>
      <c r="BO171" s="20">
        <v>0</v>
      </c>
      <c r="BP171" s="20">
        <v>0.06</v>
      </c>
      <c r="BQ171" s="20">
        <v>0</v>
      </c>
      <c r="BR171" s="20">
        <v>0</v>
      </c>
      <c r="BS171" s="20">
        <v>0</v>
      </c>
      <c r="BT171" s="20">
        <v>0</v>
      </c>
      <c r="BU171" s="20">
        <v>0.65</v>
      </c>
      <c r="BV171" s="20">
        <v>1</v>
      </c>
      <c r="BW171" s="20">
        <v>0</v>
      </c>
      <c r="BX171" s="20">
        <v>1</v>
      </c>
      <c r="BY171" s="20"/>
      <c r="BZ171" s="20"/>
      <c r="CA171" s="20"/>
      <c r="CB171" s="20"/>
      <c r="CC171" s="20"/>
      <c r="CD171" s="20"/>
      <c r="CE171" s="20"/>
      <c r="CF171" s="20"/>
      <c r="CH171" s="2" t="s">
        <v>161</v>
      </c>
      <c r="CI171" s="20">
        <v>0.22</v>
      </c>
      <c r="CJ171" s="20">
        <v>0.26</v>
      </c>
      <c r="CK171" s="20">
        <v>0.5</v>
      </c>
      <c r="CL171" s="20">
        <v>0.2</v>
      </c>
      <c r="CM171" s="20">
        <v>0</v>
      </c>
      <c r="CN171" s="20">
        <v>0</v>
      </c>
      <c r="CO171" s="20">
        <v>0</v>
      </c>
      <c r="CP171" s="20">
        <v>0.76</v>
      </c>
      <c r="CQ171" s="20">
        <v>1</v>
      </c>
      <c r="CR171" s="20">
        <v>0.65</v>
      </c>
      <c r="CS171" s="20">
        <v>1</v>
      </c>
      <c r="CT171" s="20"/>
      <c r="CU171" s="20"/>
      <c r="CV171" s="20"/>
      <c r="CW171" s="20"/>
      <c r="CX171" s="20"/>
      <c r="CY171" s="20"/>
      <c r="CZ171" s="20"/>
      <c r="DA171" s="20"/>
      <c r="DC171" s="4" t="s">
        <v>161</v>
      </c>
      <c r="DD171" s="4">
        <v>0.95</v>
      </c>
      <c r="DE171" s="4">
        <v>0.93540000000000001</v>
      </c>
      <c r="DF171" s="4">
        <v>1.0396000000000001</v>
      </c>
      <c r="DG171" s="4">
        <v>2.1951000000000001</v>
      </c>
      <c r="DH171" s="4">
        <v>1.0073000000000001</v>
      </c>
    </row>
    <row r="172" spans="2:112">
      <c r="B172" s="2" t="s">
        <v>162</v>
      </c>
      <c r="C172" s="20">
        <v>0.15</v>
      </c>
      <c r="D172" s="20">
        <v>0.35</v>
      </c>
      <c r="E172" s="20">
        <v>0.44</v>
      </c>
      <c r="F172" s="20">
        <v>0.2</v>
      </c>
      <c r="G172" s="20">
        <v>0</v>
      </c>
      <c r="H172" s="20">
        <v>0</v>
      </c>
      <c r="I172" s="20">
        <v>0.04</v>
      </c>
      <c r="J172" s="20">
        <v>0</v>
      </c>
      <c r="K172" s="20">
        <v>1</v>
      </c>
      <c r="L172" s="20">
        <v>0.39</v>
      </c>
      <c r="M172" s="20">
        <v>0.53</v>
      </c>
      <c r="N172" s="20">
        <v>1</v>
      </c>
      <c r="O172" s="20"/>
      <c r="P172" s="20"/>
      <c r="Q172" s="20"/>
      <c r="R172" s="20"/>
      <c r="S172" s="20"/>
      <c r="T172" s="20"/>
      <c r="U172" s="20"/>
      <c r="W172" s="2" t="s">
        <v>162</v>
      </c>
      <c r="X172" s="20">
        <v>0</v>
      </c>
      <c r="Y172" s="20">
        <v>0.41</v>
      </c>
      <c r="Z172" s="20">
        <v>0.18</v>
      </c>
      <c r="AA172" s="20">
        <v>0.06</v>
      </c>
      <c r="AB172" s="20">
        <v>0</v>
      </c>
      <c r="AC172" s="20">
        <v>0</v>
      </c>
      <c r="AD172" s="20">
        <v>0</v>
      </c>
      <c r="AE172" s="20">
        <v>0.09</v>
      </c>
      <c r="AF172" s="20">
        <v>1</v>
      </c>
      <c r="AG172" s="20">
        <v>0.37</v>
      </c>
      <c r="AH172" s="20">
        <v>0.17</v>
      </c>
      <c r="AI172" s="20">
        <v>1</v>
      </c>
      <c r="AJ172" s="20"/>
      <c r="AK172" s="20"/>
      <c r="AL172" s="20"/>
      <c r="AM172" s="20"/>
      <c r="AN172" s="20"/>
      <c r="AO172" s="20"/>
      <c r="AP172" s="20"/>
      <c r="AR172" s="2" t="s">
        <v>162</v>
      </c>
      <c r="AS172" s="20">
        <v>0.11</v>
      </c>
      <c r="AT172" s="20">
        <v>0.35</v>
      </c>
      <c r="AU172" s="20">
        <v>0.32</v>
      </c>
      <c r="AV172" s="20">
        <v>0.03</v>
      </c>
      <c r="AW172" s="20">
        <v>0</v>
      </c>
      <c r="AX172" s="20">
        <v>0</v>
      </c>
      <c r="AY172" s="20">
        <v>0</v>
      </c>
      <c r="AZ172" s="20">
        <v>0</v>
      </c>
      <c r="BA172" s="20">
        <v>1</v>
      </c>
      <c r="BB172" s="20">
        <v>0.27</v>
      </c>
      <c r="BC172" s="20">
        <v>0.42</v>
      </c>
      <c r="BD172" s="20">
        <v>1</v>
      </c>
      <c r="BE172" s="20"/>
      <c r="BF172" s="20"/>
      <c r="BG172" s="20"/>
      <c r="BH172" s="20"/>
      <c r="BI172" s="20"/>
      <c r="BJ172" s="20"/>
      <c r="BK172" s="20"/>
      <c r="BM172" s="2" t="s">
        <v>162</v>
      </c>
      <c r="BN172" s="20">
        <v>0</v>
      </c>
      <c r="BO172" s="20">
        <v>0</v>
      </c>
      <c r="BP172" s="20">
        <v>0.03</v>
      </c>
      <c r="BQ172" s="20">
        <v>0</v>
      </c>
      <c r="BR172" s="20">
        <v>0</v>
      </c>
      <c r="BS172" s="20">
        <v>0</v>
      </c>
      <c r="BT172" s="20">
        <v>0</v>
      </c>
      <c r="BU172" s="20">
        <v>0</v>
      </c>
      <c r="BV172" s="20">
        <v>1</v>
      </c>
      <c r="BW172" s="20">
        <v>0</v>
      </c>
      <c r="BX172" s="20">
        <v>0.45</v>
      </c>
      <c r="BY172" s="20">
        <v>1</v>
      </c>
      <c r="BZ172" s="20"/>
      <c r="CA172" s="20"/>
      <c r="CB172" s="20"/>
      <c r="CC172" s="20"/>
      <c r="CD172" s="20"/>
      <c r="CE172" s="20"/>
      <c r="CF172" s="20"/>
      <c r="CH172" s="2" t="s">
        <v>162</v>
      </c>
      <c r="CI172" s="20">
        <v>0.15</v>
      </c>
      <c r="CJ172" s="20">
        <v>0.35</v>
      </c>
      <c r="CK172" s="20">
        <v>0.44</v>
      </c>
      <c r="CL172" s="20">
        <v>0.2</v>
      </c>
      <c r="CM172" s="20">
        <v>0</v>
      </c>
      <c r="CN172" s="20">
        <v>0</v>
      </c>
      <c r="CO172" s="20">
        <v>0.04</v>
      </c>
      <c r="CP172" s="20">
        <v>0</v>
      </c>
      <c r="CQ172" s="20">
        <v>1</v>
      </c>
      <c r="CR172" s="20">
        <v>0.39</v>
      </c>
      <c r="CS172" s="20">
        <v>0.53</v>
      </c>
      <c r="CT172" s="20">
        <v>1</v>
      </c>
      <c r="CU172" s="20"/>
      <c r="CV172" s="20"/>
      <c r="CW172" s="20"/>
      <c r="CX172" s="20"/>
      <c r="CY172" s="20"/>
      <c r="CZ172" s="20"/>
      <c r="DA172" s="20"/>
      <c r="DC172" s="4" t="s">
        <v>162</v>
      </c>
      <c r="DD172" s="4">
        <v>1.8E-3</v>
      </c>
      <c r="DE172" s="4">
        <v>8.8000000000000005E-3</v>
      </c>
      <c r="DF172" s="4">
        <v>2.8999999999999998E-3</v>
      </c>
      <c r="DG172" s="4">
        <v>1.6799999999999999E-2</v>
      </c>
      <c r="DH172" s="4">
        <v>1.9E-3</v>
      </c>
    </row>
    <row r="173" spans="2:112">
      <c r="B173" s="2" t="s">
        <v>163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>
        <v>0</v>
      </c>
      <c r="N173" s="20">
        <v>0</v>
      </c>
      <c r="O173" s="20">
        <v>1</v>
      </c>
      <c r="P173" s="20"/>
      <c r="Q173" s="20"/>
      <c r="R173" s="20"/>
      <c r="S173" s="20"/>
      <c r="T173" s="20"/>
      <c r="U173" s="20"/>
      <c r="W173" s="2" t="s">
        <v>163</v>
      </c>
      <c r="X173" s="20">
        <v>0</v>
      </c>
      <c r="Y173" s="20">
        <v>0</v>
      </c>
      <c r="Z173" s="20">
        <v>0</v>
      </c>
      <c r="AA173" s="20">
        <v>0</v>
      </c>
      <c r="AB173" s="20">
        <v>0</v>
      </c>
      <c r="AC173" s="20">
        <v>0</v>
      </c>
      <c r="AD173" s="20">
        <v>0</v>
      </c>
      <c r="AE173" s="20">
        <v>0</v>
      </c>
      <c r="AF173" s="20">
        <v>0</v>
      </c>
      <c r="AG173" s="20">
        <v>0</v>
      </c>
      <c r="AH173" s="20">
        <v>0</v>
      </c>
      <c r="AI173" s="20">
        <v>0</v>
      </c>
      <c r="AJ173" s="20">
        <v>1</v>
      </c>
      <c r="AK173" s="20"/>
      <c r="AL173" s="20"/>
      <c r="AM173" s="20"/>
      <c r="AN173" s="20"/>
      <c r="AO173" s="20"/>
      <c r="AP173" s="20"/>
      <c r="AR173" s="2" t="s">
        <v>163</v>
      </c>
      <c r="AS173" s="20">
        <v>0</v>
      </c>
      <c r="AT173" s="20">
        <v>0</v>
      </c>
      <c r="AU173" s="20">
        <v>0</v>
      </c>
      <c r="AV173" s="20">
        <v>0</v>
      </c>
      <c r="AW173" s="20">
        <v>0</v>
      </c>
      <c r="AX173" s="20">
        <v>0</v>
      </c>
      <c r="AY173" s="20">
        <v>0</v>
      </c>
      <c r="AZ173" s="20">
        <v>0</v>
      </c>
      <c r="BA173" s="20">
        <v>0</v>
      </c>
      <c r="BB173" s="20">
        <v>0</v>
      </c>
      <c r="BC173" s="20">
        <v>0</v>
      </c>
      <c r="BD173" s="20">
        <v>0</v>
      </c>
      <c r="BE173" s="20">
        <v>1</v>
      </c>
      <c r="BF173" s="20"/>
      <c r="BG173" s="20"/>
      <c r="BH173" s="20"/>
      <c r="BI173" s="20"/>
      <c r="BJ173" s="20"/>
      <c r="BK173" s="20"/>
      <c r="BM173" s="2" t="s">
        <v>163</v>
      </c>
      <c r="BN173" s="20">
        <v>0</v>
      </c>
      <c r="BO173" s="20">
        <v>0</v>
      </c>
      <c r="BP173" s="20">
        <v>0</v>
      </c>
      <c r="BQ173" s="20">
        <v>0</v>
      </c>
      <c r="BR173" s="20">
        <v>0</v>
      </c>
      <c r="BS173" s="20">
        <v>0</v>
      </c>
      <c r="BT173" s="20">
        <v>0</v>
      </c>
      <c r="BU173" s="20">
        <v>0</v>
      </c>
      <c r="BV173" s="20">
        <v>0</v>
      </c>
      <c r="BW173" s="20">
        <v>0</v>
      </c>
      <c r="BX173" s="20">
        <v>0</v>
      </c>
      <c r="BY173" s="20">
        <v>0</v>
      </c>
      <c r="BZ173" s="20">
        <v>1</v>
      </c>
      <c r="CA173" s="20"/>
      <c r="CB173" s="20"/>
      <c r="CC173" s="20"/>
      <c r="CD173" s="20"/>
      <c r="CE173" s="20"/>
      <c r="CF173" s="20"/>
      <c r="CH173" s="2" t="s">
        <v>163</v>
      </c>
      <c r="CI173" s="20">
        <v>0</v>
      </c>
      <c r="CJ173" s="20">
        <v>0</v>
      </c>
      <c r="CK173" s="20">
        <v>0</v>
      </c>
      <c r="CL173" s="20">
        <v>0</v>
      </c>
      <c r="CM173" s="20">
        <v>0</v>
      </c>
      <c r="CN173" s="20">
        <v>0</v>
      </c>
      <c r="CO173" s="20">
        <v>0</v>
      </c>
      <c r="CP173" s="20">
        <v>0</v>
      </c>
      <c r="CQ173" s="20">
        <v>0</v>
      </c>
      <c r="CR173" s="20">
        <v>0</v>
      </c>
      <c r="CS173" s="20">
        <v>0</v>
      </c>
      <c r="CT173" s="20">
        <v>0</v>
      </c>
      <c r="CU173" s="20">
        <v>1</v>
      </c>
      <c r="CV173" s="20"/>
      <c r="CW173" s="20"/>
      <c r="CX173" s="20"/>
      <c r="CY173" s="20"/>
      <c r="CZ173" s="20"/>
      <c r="DA173" s="20"/>
      <c r="DC173" s="4" t="s">
        <v>163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</row>
    <row r="174" spans="2:112">
      <c r="B174" s="2" t="s">
        <v>164</v>
      </c>
      <c r="C174" s="20">
        <v>0</v>
      </c>
      <c r="D174" s="20">
        <v>0.21</v>
      </c>
      <c r="E174" s="20">
        <v>0</v>
      </c>
      <c r="F174" s="20">
        <v>0.17</v>
      </c>
      <c r="G174" s="20">
        <v>0</v>
      </c>
      <c r="H174" s="20">
        <v>0</v>
      </c>
      <c r="I174" s="20">
        <v>0</v>
      </c>
      <c r="J174" s="20">
        <v>0</v>
      </c>
      <c r="K174" s="20">
        <v>1</v>
      </c>
      <c r="L174" s="20">
        <v>0</v>
      </c>
      <c r="M174" s="20">
        <v>0</v>
      </c>
      <c r="N174" s="20">
        <v>0.22</v>
      </c>
      <c r="O174" s="20">
        <v>0</v>
      </c>
      <c r="P174" s="20">
        <v>1</v>
      </c>
      <c r="Q174" s="20"/>
      <c r="R174" s="20"/>
      <c r="S174" s="20"/>
      <c r="T174" s="20"/>
      <c r="U174" s="20"/>
      <c r="W174" s="2" t="s">
        <v>164</v>
      </c>
      <c r="X174" s="20">
        <v>0</v>
      </c>
      <c r="Y174" s="20">
        <v>0.01</v>
      </c>
      <c r="Z174" s="20">
        <v>0</v>
      </c>
      <c r="AA174" s="20">
        <v>0.1</v>
      </c>
      <c r="AB174" s="20">
        <v>0</v>
      </c>
      <c r="AC174" s="20">
        <v>0</v>
      </c>
      <c r="AD174" s="20">
        <v>0</v>
      </c>
      <c r="AE174" s="20">
        <v>0</v>
      </c>
      <c r="AF174" s="20">
        <v>1</v>
      </c>
      <c r="AG174" s="20">
        <v>0</v>
      </c>
      <c r="AH174" s="20">
        <v>0</v>
      </c>
      <c r="AI174" s="20">
        <v>0.04</v>
      </c>
      <c r="AJ174" s="20">
        <v>0</v>
      </c>
      <c r="AK174" s="20">
        <v>1</v>
      </c>
      <c r="AL174" s="20"/>
      <c r="AM174" s="20"/>
      <c r="AN174" s="20"/>
      <c r="AO174" s="20"/>
      <c r="AP174" s="20"/>
      <c r="AR174" s="2" t="s">
        <v>164</v>
      </c>
      <c r="AS174" s="20">
        <v>0</v>
      </c>
      <c r="AT174" s="20">
        <v>0.11</v>
      </c>
      <c r="AU174" s="20">
        <v>0.13</v>
      </c>
      <c r="AV174" s="20">
        <v>0.28999999999999998</v>
      </c>
      <c r="AW174" s="20">
        <v>0</v>
      </c>
      <c r="AX174" s="20">
        <v>0</v>
      </c>
      <c r="AY174" s="20">
        <v>0</v>
      </c>
      <c r="AZ174" s="20">
        <v>0</v>
      </c>
      <c r="BA174" s="20">
        <v>1</v>
      </c>
      <c r="BB174" s="20">
        <v>0</v>
      </c>
      <c r="BC174" s="20">
        <v>0</v>
      </c>
      <c r="BD174" s="20">
        <v>0.04</v>
      </c>
      <c r="BE174" s="20">
        <v>0</v>
      </c>
      <c r="BF174" s="20">
        <v>1</v>
      </c>
      <c r="BG174" s="20"/>
      <c r="BH174" s="20"/>
      <c r="BI174" s="20"/>
      <c r="BJ174" s="20"/>
      <c r="BK174" s="20"/>
      <c r="BM174" s="2" t="s">
        <v>164</v>
      </c>
      <c r="BN174" s="20">
        <v>0.16</v>
      </c>
      <c r="BO174" s="20">
        <v>0</v>
      </c>
      <c r="BP174" s="20">
        <v>0</v>
      </c>
      <c r="BQ174" s="20">
        <v>0.02</v>
      </c>
      <c r="BR174" s="20">
        <v>0</v>
      </c>
      <c r="BS174" s="20">
        <v>0</v>
      </c>
      <c r="BT174" s="20">
        <v>0</v>
      </c>
      <c r="BU174" s="20">
        <v>0</v>
      </c>
      <c r="BV174" s="20">
        <v>1</v>
      </c>
      <c r="BW174" s="20">
        <v>0</v>
      </c>
      <c r="BX174" s="20">
        <v>1</v>
      </c>
      <c r="BY174" s="20">
        <v>1</v>
      </c>
      <c r="BZ174" s="20">
        <v>0</v>
      </c>
      <c r="CA174" s="20">
        <v>1</v>
      </c>
      <c r="CB174" s="20"/>
      <c r="CC174" s="20"/>
      <c r="CD174" s="20"/>
      <c r="CE174" s="20"/>
      <c r="CF174" s="20"/>
      <c r="CH174" s="2" t="s">
        <v>164</v>
      </c>
      <c r="CI174" s="20">
        <v>0</v>
      </c>
      <c r="CJ174" s="20">
        <v>0.21</v>
      </c>
      <c r="CK174" s="20">
        <v>0</v>
      </c>
      <c r="CL174" s="20">
        <v>0.17</v>
      </c>
      <c r="CM174" s="20">
        <v>0</v>
      </c>
      <c r="CN174" s="20">
        <v>0</v>
      </c>
      <c r="CO174" s="20">
        <v>0</v>
      </c>
      <c r="CP174" s="20">
        <v>0</v>
      </c>
      <c r="CQ174" s="20">
        <v>1</v>
      </c>
      <c r="CR174" s="20">
        <v>0</v>
      </c>
      <c r="CS174" s="20">
        <v>0</v>
      </c>
      <c r="CT174" s="20">
        <v>0.22</v>
      </c>
      <c r="CU174" s="20">
        <v>0</v>
      </c>
      <c r="CV174" s="20">
        <v>1</v>
      </c>
      <c r="CW174" s="20"/>
      <c r="CX174" s="20"/>
      <c r="CY174" s="20"/>
      <c r="CZ174" s="20"/>
      <c r="DA174" s="20"/>
      <c r="DC174" s="4" t="s">
        <v>164</v>
      </c>
      <c r="DD174" s="4">
        <v>1E-4</v>
      </c>
      <c r="DE174" s="4">
        <v>1E-4</v>
      </c>
      <c r="DF174" s="4">
        <v>1E-4</v>
      </c>
      <c r="DG174" s="4">
        <v>0</v>
      </c>
      <c r="DH174" s="4">
        <v>1E-4</v>
      </c>
    </row>
    <row r="175" spans="2:112">
      <c r="B175" s="2" t="s">
        <v>165</v>
      </c>
      <c r="C175" s="20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0">
        <v>0</v>
      </c>
      <c r="K175" s="20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0"/>
      <c r="S175" s="20"/>
      <c r="T175" s="20"/>
      <c r="U175" s="20"/>
      <c r="W175" s="2" t="s">
        <v>165</v>
      </c>
      <c r="X175" s="20">
        <v>0</v>
      </c>
      <c r="Y175" s="20">
        <v>0</v>
      </c>
      <c r="Z175" s="20">
        <v>0</v>
      </c>
      <c r="AA175" s="20">
        <v>0</v>
      </c>
      <c r="AB175" s="20">
        <v>0</v>
      </c>
      <c r="AC175" s="20">
        <v>0</v>
      </c>
      <c r="AD175" s="20">
        <v>0</v>
      </c>
      <c r="AE175" s="20">
        <v>0</v>
      </c>
      <c r="AF175" s="20">
        <v>0</v>
      </c>
      <c r="AG175" s="20">
        <v>0</v>
      </c>
      <c r="AH175" s="20">
        <v>0</v>
      </c>
      <c r="AI175" s="20">
        <v>0</v>
      </c>
      <c r="AJ175" s="20">
        <v>0</v>
      </c>
      <c r="AK175" s="20">
        <v>0</v>
      </c>
      <c r="AL175" s="20">
        <v>1</v>
      </c>
      <c r="AM175" s="20"/>
      <c r="AN175" s="20"/>
      <c r="AO175" s="20"/>
      <c r="AP175" s="20"/>
      <c r="AR175" s="2" t="s">
        <v>165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  <c r="AY175" s="20">
        <v>0</v>
      </c>
      <c r="AZ175" s="20">
        <v>0</v>
      </c>
      <c r="BA175" s="20">
        <v>0</v>
      </c>
      <c r="BB175" s="20">
        <v>0</v>
      </c>
      <c r="BC175" s="20">
        <v>0</v>
      </c>
      <c r="BD175" s="20">
        <v>0</v>
      </c>
      <c r="BE175" s="20">
        <v>0</v>
      </c>
      <c r="BF175" s="20">
        <v>0</v>
      </c>
      <c r="BG175" s="20">
        <v>1</v>
      </c>
      <c r="BH175" s="20"/>
      <c r="BI175" s="20"/>
      <c r="BJ175" s="20"/>
      <c r="BK175" s="20"/>
      <c r="BM175" s="2" t="s">
        <v>165</v>
      </c>
      <c r="BN175" s="20">
        <v>0</v>
      </c>
      <c r="BO175" s="20">
        <v>0</v>
      </c>
      <c r="BP175" s="20">
        <v>0</v>
      </c>
      <c r="BQ175" s="20">
        <v>0</v>
      </c>
      <c r="BR175" s="20">
        <v>0</v>
      </c>
      <c r="BS175" s="20">
        <v>0</v>
      </c>
      <c r="BT175" s="20">
        <v>0</v>
      </c>
      <c r="BU175" s="20">
        <v>0</v>
      </c>
      <c r="BV175" s="20">
        <v>0</v>
      </c>
      <c r="BW175" s="20">
        <v>0</v>
      </c>
      <c r="BX175" s="20">
        <v>0</v>
      </c>
      <c r="BY175" s="20">
        <v>0</v>
      </c>
      <c r="BZ175" s="20">
        <v>0</v>
      </c>
      <c r="CA175" s="20">
        <v>0</v>
      </c>
      <c r="CB175" s="20">
        <v>1</v>
      </c>
      <c r="CC175" s="20"/>
      <c r="CD175" s="20"/>
      <c r="CE175" s="20"/>
      <c r="CF175" s="20"/>
      <c r="CH175" s="2" t="s">
        <v>165</v>
      </c>
      <c r="CI175" s="20">
        <v>0</v>
      </c>
      <c r="CJ175" s="20">
        <v>0</v>
      </c>
      <c r="CK175" s="20">
        <v>0</v>
      </c>
      <c r="CL175" s="20">
        <v>0</v>
      </c>
      <c r="CM175" s="20">
        <v>0</v>
      </c>
      <c r="CN175" s="20">
        <v>0</v>
      </c>
      <c r="CO175" s="20">
        <v>0</v>
      </c>
      <c r="CP175" s="20">
        <v>0</v>
      </c>
      <c r="CQ175" s="20">
        <v>0</v>
      </c>
      <c r="CR175" s="20">
        <v>0</v>
      </c>
      <c r="CS175" s="20">
        <v>0</v>
      </c>
      <c r="CT175" s="20">
        <v>0</v>
      </c>
      <c r="CU175" s="20">
        <v>0</v>
      </c>
      <c r="CV175" s="20">
        <v>0</v>
      </c>
      <c r="CW175" s="20">
        <v>1</v>
      </c>
      <c r="CX175" s="20"/>
      <c r="CY175" s="20"/>
      <c r="CZ175" s="20"/>
      <c r="DA175" s="20"/>
      <c r="DC175" s="4" t="s">
        <v>165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</row>
    <row r="176" spans="2:112">
      <c r="B176" s="2" t="s">
        <v>166</v>
      </c>
      <c r="C176" s="20">
        <v>0</v>
      </c>
      <c r="D176" s="20">
        <v>0.97</v>
      </c>
      <c r="E176" s="20">
        <v>0.43</v>
      </c>
      <c r="F176" s="20">
        <v>0</v>
      </c>
      <c r="G176" s="20">
        <v>0</v>
      </c>
      <c r="H176" s="20">
        <v>0</v>
      </c>
      <c r="I176" s="20">
        <v>0</v>
      </c>
      <c r="J176" s="20">
        <v>0</v>
      </c>
      <c r="K176" s="20">
        <v>1</v>
      </c>
      <c r="L176" s="20">
        <v>0.34</v>
      </c>
      <c r="M176" s="20">
        <v>0.19</v>
      </c>
      <c r="N176" s="20">
        <v>1</v>
      </c>
      <c r="O176" s="20">
        <v>0</v>
      </c>
      <c r="P176" s="20">
        <v>1</v>
      </c>
      <c r="Q176" s="20">
        <v>0</v>
      </c>
      <c r="R176" s="20">
        <v>1</v>
      </c>
      <c r="S176" s="20"/>
      <c r="T176" s="20"/>
      <c r="U176" s="20"/>
      <c r="W176" s="2" t="s">
        <v>166</v>
      </c>
      <c r="X176" s="20">
        <v>0</v>
      </c>
      <c r="Y176" s="20">
        <v>0</v>
      </c>
      <c r="Z176" s="20">
        <v>0.01</v>
      </c>
      <c r="AA176" s="20">
        <v>0.01</v>
      </c>
      <c r="AB176" s="20">
        <v>0</v>
      </c>
      <c r="AC176" s="20">
        <v>0</v>
      </c>
      <c r="AD176" s="20">
        <v>0</v>
      </c>
      <c r="AE176" s="20">
        <v>0</v>
      </c>
      <c r="AF176" s="20">
        <v>1</v>
      </c>
      <c r="AG176" s="20">
        <v>0</v>
      </c>
      <c r="AH176" s="20">
        <v>0</v>
      </c>
      <c r="AI176" s="20">
        <v>0.01</v>
      </c>
      <c r="AJ176" s="20">
        <v>0</v>
      </c>
      <c r="AK176" s="20">
        <v>0.79</v>
      </c>
      <c r="AL176" s="20">
        <v>0</v>
      </c>
      <c r="AM176" s="20">
        <v>1</v>
      </c>
      <c r="AN176" s="20"/>
      <c r="AO176" s="20"/>
      <c r="AP176" s="20"/>
      <c r="AR176" s="2" t="s">
        <v>166</v>
      </c>
      <c r="AS176" s="20">
        <v>0</v>
      </c>
      <c r="AT176" s="20">
        <v>0.33</v>
      </c>
      <c r="AU176" s="20">
        <v>0.47</v>
      </c>
      <c r="AV176" s="20">
        <v>0</v>
      </c>
      <c r="AW176" s="20">
        <v>0</v>
      </c>
      <c r="AX176" s="20">
        <v>0</v>
      </c>
      <c r="AY176" s="20">
        <v>0</v>
      </c>
      <c r="AZ176" s="20">
        <v>0</v>
      </c>
      <c r="BA176" s="20">
        <v>1</v>
      </c>
      <c r="BB176" s="20">
        <v>0.06</v>
      </c>
      <c r="BC176" s="20">
        <v>0</v>
      </c>
      <c r="BD176" s="20">
        <v>0.28000000000000003</v>
      </c>
      <c r="BE176" s="20">
        <v>0</v>
      </c>
      <c r="BF176" s="20">
        <v>1</v>
      </c>
      <c r="BG176" s="20">
        <v>0</v>
      </c>
      <c r="BH176" s="20">
        <v>1</v>
      </c>
      <c r="BI176" s="20"/>
      <c r="BJ176" s="20"/>
      <c r="BK176" s="20"/>
      <c r="BM176" s="2" t="s">
        <v>166</v>
      </c>
      <c r="BN176" s="20">
        <v>0</v>
      </c>
      <c r="BO176" s="20">
        <v>0.95</v>
      </c>
      <c r="BP176" s="20">
        <v>1</v>
      </c>
      <c r="BQ176" s="20">
        <v>1</v>
      </c>
      <c r="BR176" s="20">
        <v>0</v>
      </c>
      <c r="BS176" s="20">
        <v>0</v>
      </c>
      <c r="BT176" s="20">
        <v>0</v>
      </c>
      <c r="BU176" s="20">
        <v>7.0000000000000007E-2</v>
      </c>
      <c r="BV176" s="20">
        <v>1</v>
      </c>
      <c r="BW176" s="20">
        <v>0</v>
      </c>
      <c r="BX176" s="20">
        <v>0.52</v>
      </c>
      <c r="BY176" s="20">
        <v>0.44</v>
      </c>
      <c r="BZ176" s="20">
        <v>0</v>
      </c>
      <c r="CA176" s="20">
        <v>1</v>
      </c>
      <c r="CB176" s="20">
        <v>0</v>
      </c>
      <c r="CC176" s="20">
        <v>1</v>
      </c>
      <c r="CD176" s="20"/>
      <c r="CE176" s="20"/>
      <c r="CF176" s="20"/>
      <c r="CH176" s="2" t="s">
        <v>166</v>
      </c>
      <c r="CI176" s="20">
        <v>0</v>
      </c>
      <c r="CJ176" s="20">
        <v>0.97</v>
      </c>
      <c r="CK176" s="20">
        <v>0.43</v>
      </c>
      <c r="CL176" s="20">
        <v>0</v>
      </c>
      <c r="CM176" s="20">
        <v>0</v>
      </c>
      <c r="CN176" s="20">
        <v>0</v>
      </c>
      <c r="CO176" s="20">
        <v>0</v>
      </c>
      <c r="CP176" s="20">
        <v>0</v>
      </c>
      <c r="CQ176" s="20">
        <v>1</v>
      </c>
      <c r="CR176" s="20">
        <v>0.34</v>
      </c>
      <c r="CS176" s="20">
        <v>0.19</v>
      </c>
      <c r="CT176" s="20">
        <v>1</v>
      </c>
      <c r="CU176" s="20">
        <v>0</v>
      </c>
      <c r="CV176" s="20">
        <v>1</v>
      </c>
      <c r="CW176" s="20">
        <v>0</v>
      </c>
      <c r="CX176" s="20">
        <v>1</v>
      </c>
      <c r="CY176" s="20"/>
      <c r="CZ176" s="20"/>
      <c r="DA176" s="20"/>
      <c r="DC176" s="4" t="s">
        <v>166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</row>
    <row r="177" spans="1:112">
      <c r="B177" s="2" t="s">
        <v>167</v>
      </c>
      <c r="C177" s="20">
        <v>0.69</v>
      </c>
      <c r="D177" s="20">
        <v>0.02</v>
      </c>
      <c r="E177" s="20">
        <v>0.13</v>
      </c>
      <c r="F177" s="20">
        <v>0.38</v>
      </c>
      <c r="G177" s="20">
        <v>0.73</v>
      </c>
      <c r="H177" s="20">
        <v>0.75</v>
      </c>
      <c r="I177" s="20">
        <v>0.4</v>
      </c>
      <c r="J177" s="20">
        <v>0</v>
      </c>
      <c r="K177" s="20">
        <v>1</v>
      </c>
      <c r="L177" s="20">
        <v>0</v>
      </c>
      <c r="M177" s="20">
        <v>0.12</v>
      </c>
      <c r="N177" s="20">
        <v>0.04</v>
      </c>
      <c r="O177" s="20">
        <v>0</v>
      </c>
      <c r="P177" s="20">
        <v>0</v>
      </c>
      <c r="Q177" s="20">
        <v>0</v>
      </c>
      <c r="R177" s="20">
        <v>0</v>
      </c>
      <c r="S177" s="20">
        <v>1</v>
      </c>
      <c r="T177" s="20"/>
      <c r="U177" s="20"/>
      <c r="W177" s="2" t="s">
        <v>167</v>
      </c>
      <c r="X177" s="20">
        <v>0.53</v>
      </c>
      <c r="Y177" s="20">
        <v>0.24</v>
      </c>
      <c r="Z177" s="20">
        <v>0.18</v>
      </c>
      <c r="AA177" s="20">
        <v>0.26</v>
      </c>
      <c r="AB177" s="20">
        <v>0.64</v>
      </c>
      <c r="AC177" s="20">
        <v>0.73</v>
      </c>
      <c r="AD177" s="20">
        <v>0.42</v>
      </c>
      <c r="AE177" s="20">
        <v>0</v>
      </c>
      <c r="AF177" s="20">
        <v>1</v>
      </c>
      <c r="AG177" s="20">
        <v>0</v>
      </c>
      <c r="AH177" s="20">
        <v>0.15</v>
      </c>
      <c r="AI177" s="20">
        <v>0</v>
      </c>
      <c r="AJ177" s="20">
        <v>0</v>
      </c>
      <c r="AK177" s="20">
        <v>0</v>
      </c>
      <c r="AL177" s="20">
        <v>0</v>
      </c>
      <c r="AM177" s="20">
        <v>0</v>
      </c>
      <c r="AN177" s="20">
        <v>1</v>
      </c>
      <c r="AO177" s="20"/>
      <c r="AP177" s="20"/>
      <c r="AR177" s="2" t="s">
        <v>167</v>
      </c>
      <c r="AS177" s="20">
        <v>0.68</v>
      </c>
      <c r="AT177" s="20">
        <v>0.05</v>
      </c>
      <c r="AU177" s="20">
        <v>0</v>
      </c>
      <c r="AV177" s="20">
        <v>0.35</v>
      </c>
      <c r="AW177" s="20">
        <v>0.65</v>
      </c>
      <c r="AX177" s="20">
        <v>0.78</v>
      </c>
      <c r="AY177" s="20">
        <v>0.44</v>
      </c>
      <c r="AZ177" s="20">
        <v>0</v>
      </c>
      <c r="BA177" s="20">
        <v>1</v>
      </c>
      <c r="BB177" s="20">
        <v>0</v>
      </c>
      <c r="BC177" s="20">
        <v>0.14000000000000001</v>
      </c>
      <c r="BD177" s="20">
        <v>0</v>
      </c>
      <c r="BE177" s="20">
        <v>0</v>
      </c>
      <c r="BF177" s="20">
        <v>0</v>
      </c>
      <c r="BG177" s="20">
        <v>0</v>
      </c>
      <c r="BH177" s="20">
        <v>0</v>
      </c>
      <c r="BI177" s="20">
        <v>1</v>
      </c>
      <c r="BJ177" s="20"/>
      <c r="BK177" s="20"/>
      <c r="BM177" s="2" t="s">
        <v>167</v>
      </c>
      <c r="BN177" s="20">
        <v>0.65</v>
      </c>
      <c r="BO177" s="20">
        <v>0.24</v>
      </c>
      <c r="BP177" s="20">
        <v>0</v>
      </c>
      <c r="BQ177" s="20">
        <v>0.13</v>
      </c>
      <c r="BR177" s="20">
        <v>0.71</v>
      </c>
      <c r="BS177" s="20">
        <v>0.67</v>
      </c>
      <c r="BT177" s="20">
        <v>0.48</v>
      </c>
      <c r="BU177" s="20">
        <v>0.01</v>
      </c>
      <c r="BV177" s="20">
        <v>0</v>
      </c>
      <c r="BW177" s="20">
        <v>0</v>
      </c>
      <c r="BX177" s="20">
        <v>0</v>
      </c>
      <c r="BY177" s="20">
        <v>0</v>
      </c>
      <c r="BZ177" s="20">
        <v>0</v>
      </c>
      <c r="CA177" s="20">
        <v>0</v>
      </c>
      <c r="CB177" s="20">
        <v>0</v>
      </c>
      <c r="CC177" s="20">
        <v>0</v>
      </c>
      <c r="CD177" s="20">
        <v>1</v>
      </c>
      <c r="CE177" s="20"/>
      <c r="CF177" s="20"/>
      <c r="CH177" s="2" t="s">
        <v>167</v>
      </c>
      <c r="CI177" s="20">
        <v>0.69</v>
      </c>
      <c r="CJ177" s="20">
        <v>0.02</v>
      </c>
      <c r="CK177" s="20">
        <v>0.13</v>
      </c>
      <c r="CL177" s="20">
        <v>0.38</v>
      </c>
      <c r="CM177" s="20">
        <v>0.73</v>
      </c>
      <c r="CN177" s="20">
        <v>0.75</v>
      </c>
      <c r="CO177" s="20">
        <v>0.4</v>
      </c>
      <c r="CP177" s="20">
        <v>0</v>
      </c>
      <c r="CQ177" s="20">
        <v>1</v>
      </c>
      <c r="CR177" s="20">
        <v>0</v>
      </c>
      <c r="CS177" s="20">
        <v>0.12</v>
      </c>
      <c r="CT177" s="20">
        <v>0.04</v>
      </c>
      <c r="CU177" s="20">
        <v>0</v>
      </c>
      <c r="CV177" s="20">
        <v>0</v>
      </c>
      <c r="CW177" s="20">
        <v>0</v>
      </c>
      <c r="CX177" s="20">
        <v>0</v>
      </c>
      <c r="CY177" s="20">
        <v>1</v>
      </c>
      <c r="CZ177" s="20"/>
      <c r="DA177" s="20"/>
      <c r="DC177" s="4" t="s">
        <v>167</v>
      </c>
      <c r="DD177" s="4">
        <v>1.3281000000000001</v>
      </c>
      <c r="DE177" s="4">
        <v>1.5491999999999999</v>
      </c>
      <c r="DF177" s="4">
        <v>1.4805999999999999</v>
      </c>
      <c r="DG177" s="4">
        <v>0.95150000000000001</v>
      </c>
      <c r="DH177" s="4">
        <v>1.4081999999999999</v>
      </c>
    </row>
    <row r="178" spans="1:112">
      <c r="B178" s="2" t="s">
        <v>168</v>
      </c>
      <c r="C178" s="20">
        <v>0.28000000000000003</v>
      </c>
      <c r="D178" s="20">
        <v>0.33</v>
      </c>
      <c r="E178" s="20">
        <v>0.48</v>
      </c>
      <c r="F178" s="20">
        <v>0.26</v>
      </c>
      <c r="G178" s="20">
        <v>0.73</v>
      </c>
      <c r="H178" s="20">
        <v>0.11</v>
      </c>
      <c r="I178" s="20">
        <v>0.11</v>
      </c>
      <c r="J178" s="20">
        <v>0</v>
      </c>
      <c r="K178" s="20">
        <v>1</v>
      </c>
      <c r="L178" s="20">
        <v>0.24</v>
      </c>
      <c r="M178" s="20">
        <v>0.35</v>
      </c>
      <c r="N178" s="20">
        <v>0.4</v>
      </c>
      <c r="O178" s="20">
        <v>0</v>
      </c>
      <c r="P178" s="20">
        <v>0.21</v>
      </c>
      <c r="Q178" s="20">
        <v>0</v>
      </c>
      <c r="R178" s="20">
        <v>0.65</v>
      </c>
      <c r="S178" s="20">
        <v>0.18</v>
      </c>
      <c r="T178" s="20">
        <v>1</v>
      </c>
      <c r="U178" s="20"/>
      <c r="W178" s="2" t="s">
        <v>168</v>
      </c>
      <c r="X178" s="20">
        <v>0.23</v>
      </c>
      <c r="Y178" s="20">
        <v>0.28000000000000003</v>
      </c>
      <c r="Z178" s="20">
        <v>0.37</v>
      </c>
      <c r="AA178" s="20">
        <v>0</v>
      </c>
      <c r="AB178" s="20">
        <v>0.51</v>
      </c>
      <c r="AC178" s="20">
        <v>0.32</v>
      </c>
      <c r="AD178" s="20">
        <v>0.22</v>
      </c>
      <c r="AE178" s="20">
        <v>0.19</v>
      </c>
      <c r="AF178" s="20">
        <v>1</v>
      </c>
      <c r="AG178" s="20">
        <v>0</v>
      </c>
      <c r="AH178" s="20">
        <v>0.33</v>
      </c>
      <c r="AI178" s="20">
        <v>0</v>
      </c>
      <c r="AJ178" s="20">
        <v>0</v>
      </c>
      <c r="AK178" s="20">
        <v>0</v>
      </c>
      <c r="AL178" s="20">
        <v>0</v>
      </c>
      <c r="AM178" s="20">
        <v>0</v>
      </c>
      <c r="AN178" s="20">
        <v>0.33</v>
      </c>
      <c r="AO178" s="20">
        <v>1</v>
      </c>
      <c r="AP178" s="20"/>
      <c r="AR178" s="2" t="s">
        <v>168</v>
      </c>
      <c r="AS178" s="20">
        <v>0.34</v>
      </c>
      <c r="AT178" s="20">
        <v>0.03</v>
      </c>
      <c r="AU178" s="20">
        <v>0</v>
      </c>
      <c r="AV178" s="20">
        <v>0</v>
      </c>
      <c r="AW178" s="20">
        <v>0.59</v>
      </c>
      <c r="AX178" s="20">
        <v>0.34</v>
      </c>
      <c r="AY178" s="20">
        <v>0.31</v>
      </c>
      <c r="AZ178" s="20">
        <v>0.27</v>
      </c>
      <c r="BA178" s="20">
        <v>1</v>
      </c>
      <c r="BB178" s="20">
        <v>0</v>
      </c>
      <c r="BC178" s="20">
        <v>0.21</v>
      </c>
      <c r="BD178" s="20">
        <v>0.02</v>
      </c>
      <c r="BE178" s="20">
        <v>0</v>
      </c>
      <c r="BF178" s="20">
        <v>0</v>
      </c>
      <c r="BG178" s="20">
        <v>0</v>
      </c>
      <c r="BH178" s="20">
        <v>0</v>
      </c>
      <c r="BI178" s="20">
        <v>0.28999999999999998</v>
      </c>
      <c r="BJ178" s="20">
        <v>1</v>
      </c>
      <c r="BK178" s="20"/>
      <c r="BM178" s="2" t="s">
        <v>168</v>
      </c>
      <c r="BN178" s="20">
        <v>0.38</v>
      </c>
      <c r="BO178" s="20">
        <v>0</v>
      </c>
      <c r="BP178" s="20">
        <v>0</v>
      </c>
      <c r="BQ178" s="20">
        <v>0</v>
      </c>
      <c r="BR178" s="20">
        <v>0.67</v>
      </c>
      <c r="BS178" s="20">
        <v>0.53</v>
      </c>
      <c r="BT178" s="20">
        <v>0.52</v>
      </c>
      <c r="BU178" s="20">
        <v>0</v>
      </c>
      <c r="BV178" s="20">
        <v>0</v>
      </c>
      <c r="BW178" s="20">
        <v>0</v>
      </c>
      <c r="BX178" s="20">
        <v>0</v>
      </c>
      <c r="BY178" s="20">
        <v>0</v>
      </c>
      <c r="BZ178" s="20">
        <v>0</v>
      </c>
      <c r="CA178" s="20">
        <v>0</v>
      </c>
      <c r="CB178" s="20">
        <v>0</v>
      </c>
      <c r="CC178" s="20">
        <v>0</v>
      </c>
      <c r="CD178" s="20">
        <v>0.92</v>
      </c>
      <c r="CE178" s="20">
        <v>1</v>
      </c>
      <c r="CF178" s="20"/>
      <c r="CH178" s="2" t="s">
        <v>168</v>
      </c>
      <c r="CI178" s="20">
        <v>0.28000000000000003</v>
      </c>
      <c r="CJ178" s="20">
        <v>0.33</v>
      </c>
      <c r="CK178" s="20">
        <v>0.48</v>
      </c>
      <c r="CL178" s="20">
        <v>0.26</v>
      </c>
      <c r="CM178" s="20">
        <v>0.73</v>
      </c>
      <c r="CN178" s="20">
        <v>0.11</v>
      </c>
      <c r="CO178" s="20">
        <v>0.11</v>
      </c>
      <c r="CP178" s="20">
        <v>0</v>
      </c>
      <c r="CQ178" s="20">
        <v>1</v>
      </c>
      <c r="CR178" s="20">
        <v>0.24</v>
      </c>
      <c r="CS178" s="20">
        <v>0.35</v>
      </c>
      <c r="CT178" s="20">
        <v>0.4</v>
      </c>
      <c r="CU178" s="20">
        <v>0</v>
      </c>
      <c r="CV178" s="20">
        <v>0.21</v>
      </c>
      <c r="CW178" s="20">
        <v>0</v>
      </c>
      <c r="CX178" s="20">
        <v>0.65</v>
      </c>
      <c r="CY178" s="20">
        <v>0.18</v>
      </c>
      <c r="CZ178" s="20">
        <v>1</v>
      </c>
      <c r="DA178" s="20"/>
      <c r="DC178" s="4" t="s">
        <v>168</v>
      </c>
      <c r="DD178" s="4">
        <v>0.19650000000000001</v>
      </c>
      <c r="DE178" s="4">
        <v>0.1179</v>
      </c>
      <c r="DF178" s="4">
        <v>0.16969999999999999</v>
      </c>
      <c r="DG178" s="4">
        <v>7.6600000000000001E-2</v>
      </c>
      <c r="DH178" s="4">
        <v>0.20830000000000001</v>
      </c>
    </row>
    <row r="179" spans="1:112">
      <c r="B179" s="2" t="s">
        <v>169</v>
      </c>
      <c r="C179" s="21">
        <v>0.42</v>
      </c>
      <c r="D179" s="21">
        <v>0</v>
      </c>
      <c r="E179" s="21">
        <v>0.27</v>
      </c>
      <c r="F179" s="21">
        <v>0.06</v>
      </c>
      <c r="G179" s="21">
        <v>0.67</v>
      </c>
      <c r="H179" s="21">
        <v>0.5</v>
      </c>
      <c r="I179" s="21">
        <v>0.42</v>
      </c>
      <c r="J179" s="21">
        <v>0.02</v>
      </c>
      <c r="K179" s="21">
        <v>1</v>
      </c>
      <c r="L179" s="21">
        <v>0</v>
      </c>
      <c r="M179" s="21">
        <v>0.14000000000000001</v>
      </c>
      <c r="N179" s="21">
        <v>0.12</v>
      </c>
      <c r="O179" s="21">
        <v>0</v>
      </c>
      <c r="P179" s="21">
        <v>0</v>
      </c>
      <c r="Q179" s="21">
        <v>0</v>
      </c>
      <c r="R179" s="21">
        <v>0</v>
      </c>
      <c r="S179" s="21">
        <v>0.23</v>
      </c>
      <c r="T179" s="21">
        <v>0.4</v>
      </c>
      <c r="U179" s="21">
        <v>1</v>
      </c>
      <c r="W179" s="2" t="s">
        <v>169</v>
      </c>
      <c r="X179" s="21">
        <v>0.38</v>
      </c>
      <c r="Y179" s="21">
        <v>0</v>
      </c>
      <c r="Z179" s="21">
        <v>0.02</v>
      </c>
      <c r="AA179" s="21">
        <v>0.05</v>
      </c>
      <c r="AB179" s="21">
        <v>0.63</v>
      </c>
      <c r="AC179" s="21">
        <v>0.37</v>
      </c>
      <c r="AD179" s="21">
        <v>0.45</v>
      </c>
      <c r="AE179" s="21">
        <v>0.27</v>
      </c>
      <c r="AF179" s="21">
        <v>0</v>
      </c>
      <c r="AG179" s="21">
        <v>0</v>
      </c>
      <c r="AH179" s="21">
        <v>0</v>
      </c>
      <c r="AI179" s="21">
        <v>0</v>
      </c>
      <c r="AJ179" s="21">
        <v>0</v>
      </c>
      <c r="AK179" s="21">
        <v>0</v>
      </c>
      <c r="AL179" s="21">
        <v>0</v>
      </c>
      <c r="AM179" s="21">
        <v>0</v>
      </c>
      <c r="AN179" s="21">
        <v>0.17</v>
      </c>
      <c r="AO179" s="21">
        <v>0.12</v>
      </c>
      <c r="AP179" s="21">
        <v>1</v>
      </c>
      <c r="AR179" s="2" t="s">
        <v>169</v>
      </c>
      <c r="AS179" s="21">
        <v>0.43</v>
      </c>
      <c r="AT179" s="21">
        <v>0</v>
      </c>
      <c r="AU179" s="21">
        <v>0.3</v>
      </c>
      <c r="AV179" s="21">
        <v>0</v>
      </c>
      <c r="AW179" s="21">
        <v>0.54</v>
      </c>
      <c r="AX179" s="21">
        <v>0.41</v>
      </c>
      <c r="AY179" s="21">
        <v>0.47</v>
      </c>
      <c r="AZ179" s="21">
        <v>0.24</v>
      </c>
      <c r="BA179" s="21">
        <v>1</v>
      </c>
      <c r="BB179" s="21">
        <v>0</v>
      </c>
      <c r="BC179" s="21">
        <v>0.06</v>
      </c>
      <c r="BD179" s="21">
        <v>0</v>
      </c>
      <c r="BE179" s="21">
        <v>0</v>
      </c>
      <c r="BF179" s="21">
        <v>0</v>
      </c>
      <c r="BG179" s="21">
        <v>0</v>
      </c>
      <c r="BH179" s="21">
        <v>0</v>
      </c>
      <c r="BI179" s="21">
        <v>0.3</v>
      </c>
      <c r="BJ179" s="21">
        <v>0.6</v>
      </c>
      <c r="BK179" s="21">
        <v>1</v>
      </c>
      <c r="BM179" s="2" t="s">
        <v>169</v>
      </c>
      <c r="BN179" s="21">
        <v>0.22</v>
      </c>
      <c r="BO179" s="21">
        <v>0</v>
      </c>
      <c r="BP179" s="21">
        <v>0</v>
      </c>
      <c r="BQ179" s="21">
        <v>0</v>
      </c>
      <c r="BR179" s="21">
        <v>0.48</v>
      </c>
      <c r="BS179" s="21">
        <v>0.4</v>
      </c>
      <c r="BT179" s="21">
        <v>0.41</v>
      </c>
      <c r="BU179" s="21">
        <v>0</v>
      </c>
      <c r="BV179" s="21">
        <v>0</v>
      </c>
      <c r="BW179" s="21">
        <v>0</v>
      </c>
      <c r="BX179" s="21">
        <v>0</v>
      </c>
      <c r="BY179" s="21">
        <v>0</v>
      </c>
      <c r="BZ179" s="21">
        <v>0</v>
      </c>
      <c r="CA179" s="21">
        <v>0</v>
      </c>
      <c r="CB179" s="21">
        <v>0</v>
      </c>
      <c r="CC179" s="21">
        <v>0</v>
      </c>
      <c r="CD179" s="21">
        <v>0.39</v>
      </c>
      <c r="CE179" s="21">
        <v>1</v>
      </c>
      <c r="CF179" s="21">
        <v>1</v>
      </c>
      <c r="CH179" s="2" t="s">
        <v>169</v>
      </c>
      <c r="CI179" s="21">
        <v>0.42</v>
      </c>
      <c r="CJ179" s="21">
        <v>0</v>
      </c>
      <c r="CK179" s="21">
        <v>0.27</v>
      </c>
      <c r="CL179" s="21">
        <v>0.06</v>
      </c>
      <c r="CM179" s="21">
        <v>0.67</v>
      </c>
      <c r="CN179" s="21">
        <v>0.5</v>
      </c>
      <c r="CO179" s="21">
        <v>0.42</v>
      </c>
      <c r="CP179" s="21">
        <v>0.02</v>
      </c>
      <c r="CQ179" s="21">
        <v>1</v>
      </c>
      <c r="CR179" s="21">
        <v>0</v>
      </c>
      <c r="CS179" s="21">
        <v>0.14000000000000001</v>
      </c>
      <c r="CT179" s="21">
        <v>0.12</v>
      </c>
      <c r="CU179" s="21">
        <v>0</v>
      </c>
      <c r="CV179" s="21">
        <v>0</v>
      </c>
      <c r="CW179" s="21">
        <v>0</v>
      </c>
      <c r="CX179" s="21">
        <v>0</v>
      </c>
      <c r="CY179" s="21">
        <v>0.23</v>
      </c>
      <c r="CZ179" s="21">
        <v>0.4</v>
      </c>
      <c r="DA179" s="21">
        <v>1</v>
      </c>
      <c r="DC179" s="7" t="s">
        <v>169</v>
      </c>
      <c r="DD179" s="7">
        <v>0.84260000000000002</v>
      </c>
      <c r="DE179" s="7">
        <v>1.1819</v>
      </c>
      <c r="DF179" s="7">
        <v>0.96760000000000002</v>
      </c>
      <c r="DG179" s="7">
        <v>0.66459999999999997</v>
      </c>
      <c r="DH179" s="7">
        <v>0.89349999999999996</v>
      </c>
    </row>
    <row r="182" spans="1:112" s="27" customFormat="1">
      <c r="A182" s="26" t="s">
        <v>174</v>
      </c>
    </row>
    <row r="184" spans="1:112">
      <c r="B184" s="14" t="s">
        <v>147</v>
      </c>
      <c r="W184" s="14" t="s">
        <v>172</v>
      </c>
    </row>
    <row r="186" spans="1:112">
      <c r="C186" s="1" t="s">
        <v>151</v>
      </c>
      <c r="D186" s="1" t="s">
        <v>152</v>
      </c>
      <c r="E186" s="1" t="s">
        <v>153</v>
      </c>
      <c r="F186" s="1" t="s">
        <v>154</v>
      </c>
      <c r="G186" s="1" t="s">
        <v>155</v>
      </c>
      <c r="H186" s="1" t="s">
        <v>156</v>
      </c>
      <c r="I186" s="1" t="s">
        <v>157</v>
      </c>
      <c r="J186" s="1" t="s">
        <v>158</v>
      </c>
      <c r="K186" s="1" t="s">
        <v>159</v>
      </c>
      <c r="L186" s="1" t="s">
        <v>160</v>
      </c>
      <c r="M186" s="1" t="s">
        <v>161</v>
      </c>
      <c r="N186" s="1" t="s">
        <v>162</v>
      </c>
      <c r="O186" s="1" t="s">
        <v>163</v>
      </c>
      <c r="P186" s="1" t="s">
        <v>164</v>
      </c>
      <c r="Q186" s="1" t="s">
        <v>165</v>
      </c>
      <c r="R186" s="1" t="s">
        <v>166</v>
      </c>
      <c r="S186" s="1" t="s">
        <v>167</v>
      </c>
      <c r="T186" s="1" t="s">
        <v>168</v>
      </c>
      <c r="U186" s="1" t="s">
        <v>169</v>
      </c>
      <c r="W186" s="1" t="s">
        <v>173</v>
      </c>
      <c r="X186" s="1" t="s">
        <v>175</v>
      </c>
      <c r="Y186" s="1" t="s">
        <v>146</v>
      </c>
    </row>
    <row r="187" spans="1:112">
      <c r="B187" s="2" t="s">
        <v>151</v>
      </c>
      <c r="C187" s="19">
        <v>1</v>
      </c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W187" s="3" t="s">
        <v>151</v>
      </c>
      <c r="X187" s="3">
        <v>0.376</v>
      </c>
      <c r="Y187" s="3">
        <v>1.88</v>
      </c>
    </row>
    <row r="188" spans="1:112">
      <c r="B188" s="2" t="s">
        <v>152</v>
      </c>
      <c r="C188" s="20">
        <v>0</v>
      </c>
      <c r="D188" s="20">
        <v>1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W188" s="4" t="s">
        <v>152</v>
      </c>
      <c r="X188" s="4">
        <v>0.20599999999999999</v>
      </c>
      <c r="Y188" s="4">
        <v>1.03</v>
      </c>
    </row>
    <row r="189" spans="1:112">
      <c r="B189" s="2" t="s">
        <v>153</v>
      </c>
      <c r="C189" s="20">
        <v>0</v>
      </c>
      <c r="D189" s="20">
        <v>0</v>
      </c>
      <c r="E189" s="20">
        <v>1</v>
      </c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W189" s="4" t="s">
        <v>153</v>
      </c>
      <c r="X189" s="4">
        <v>0.42799999999999999</v>
      </c>
      <c r="Y189" s="4">
        <v>2.14</v>
      </c>
    </row>
    <row r="190" spans="1:112">
      <c r="B190" s="2" t="s">
        <v>154</v>
      </c>
      <c r="C190" s="20">
        <v>0</v>
      </c>
      <c r="D190" s="20">
        <v>0</v>
      </c>
      <c r="E190" s="20">
        <v>0</v>
      </c>
      <c r="F190" s="20">
        <v>1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W190" s="4" t="s">
        <v>154</v>
      </c>
      <c r="X190" s="4">
        <v>0.502</v>
      </c>
      <c r="Y190" s="4">
        <v>2.5099999999999998</v>
      </c>
    </row>
    <row r="191" spans="1:112">
      <c r="B191" s="2" t="s">
        <v>155</v>
      </c>
      <c r="C191" s="20">
        <v>0.25</v>
      </c>
      <c r="D191" s="20">
        <v>0</v>
      </c>
      <c r="E191" s="20">
        <v>0</v>
      </c>
      <c r="F191" s="20">
        <v>0</v>
      </c>
      <c r="G191" s="20">
        <v>1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W191" s="4" t="s">
        <v>155</v>
      </c>
      <c r="X191" s="4">
        <v>0.98</v>
      </c>
      <c r="Y191" s="4">
        <v>4.9000000000000004</v>
      </c>
    </row>
    <row r="192" spans="1:112">
      <c r="B192" s="2" t="s">
        <v>156</v>
      </c>
      <c r="C192" s="20">
        <v>0.25</v>
      </c>
      <c r="D192" s="20">
        <v>0</v>
      </c>
      <c r="E192" s="20">
        <v>0</v>
      </c>
      <c r="F192" s="20">
        <v>0</v>
      </c>
      <c r="G192" s="20">
        <v>0.25</v>
      </c>
      <c r="H192" s="20">
        <v>1</v>
      </c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W192" s="4" t="s">
        <v>156</v>
      </c>
      <c r="X192" s="4">
        <v>0.94</v>
      </c>
      <c r="Y192" s="4">
        <v>4.7</v>
      </c>
    </row>
    <row r="193" spans="1:25">
      <c r="B193" s="2" t="s">
        <v>157</v>
      </c>
      <c r="C193" s="20">
        <v>0.25</v>
      </c>
      <c r="D193" s="20">
        <v>0</v>
      </c>
      <c r="E193" s="20">
        <v>0</v>
      </c>
      <c r="F193" s="20">
        <v>0</v>
      </c>
      <c r="G193" s="20">
        <v>0.25</v>
      </c>
      <c r="H193" s="20">
        <v>0.25</v>
      </c>
      <c r="I193" s="20">
        <v>1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W193" s="4" t="s">
        <v>157</v>
      </c>
      <c r="X193" s="4">
        <v>0.98</v>
      </c>
      <c r="Y193" s="4">
        <v>4.9000000000000004</v>
      </c>
    </row>
    <row r="194" spans="1:25">
      <c r="B194" s="2" t="s">
        <v>158</v>
      </c>
      <c r="C194" s="20">
        <v>0</v>
      </c>
      <c r="D194" s="20">
        <v>0</v>
      </c>
      <c r="E194" s="20">
        <v>0</v>
      </c>
      <c r="F194" s="20">
        <v>0</v>
      </c>
      <c r="G194" s="20">
        <v>0</v>
      </c>
      <c r="H194" s="20">
        <v>0</v>
      </c>
      <c r="I194" s="20">
        <v>0</v>
      </c>
      <c r="J194" s="20">
        <v>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W194" s="4" t="s">
        <v>158</v>
      </c>
      <c r="X194" s="4">
        <v>0.01</v>
      </c>
      <c r="Y194" s="4">
        <v>0.05</v>
      </c>
    </row>
    <row r="195" spans="1:25">
      <c r="B195" s="2" t="s">
        <v>159</v>
      </c>
      <c r="C195" s="20">
        <v>0</v>
      </c>
      <c r="D195" s="20">
        <v>0</v>
      </c>
      <c r="E195" s="20">
        <v>0</v>
      </c>
      <c r="F195" s="20">
        <v>0</v>
      </c>
      <c r="G195" s="20">
        <v>0</v>
      </c>
      <c r="H195" s="20">
        <v>0</v>
      </c>
      <c r="I195" s="20">
        <v>0</v>
      </c>
      <c r="J195" s="20">
        <v>0</v>
      </c>
      <c r="K195" s="20">
        <v>1</v>
      </c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W195" s="4" t="s">
        <v>159</v>
      </c>
      <c r="X195" s="4">
        <v>6.4000000000000001E-2</v>
      </c>
      <c r="Y195" s="4">
        <v>0.32</v>
      </c>
    </row>
    <row r="196" spans="1:25">
      <c r="B196" s="2" t="s">
        <v>160</v>
      </c>
      <c r="C196" s="20">
        <v>0</v>
      </c>
      <c r="D196" s="20">
        <v>0</v>
      </c>
      <c r="E196" s="20">
        <v>0</v>
      </c>
      <c r="F196" s="20">
        <v>0</v>
      </c>
      <c r="G196" s="20">
        <v>0</v>
      </c>
      <c r="H196" s="20">
        <v>0</v>
      </c>
      <c r="I196" s="20">
        <v>0</v>
      </c>
      <c r="J196" s="20">
        <v>0</v>
      </c>
      <c r="K196" s="20">
        <v>0</v>
      </c>
      <c r="L196" s="20">
        <v>1</v>
      </c>
      <c r="M196" s="20"/>
      <c r="N196" s="20"/>
      <c r="O196" s="20"/>
      <c r="P196" s="20"/>
      <c r="Q196" s="20"/>
      <c r="R196" s="20"/>
      <c r="S196" s="20"/>
      <c r="T196" s="20"/>
      <c r="U196" s="20"/>
      <c r="W196" s="4" t="s">
        <v>160</v>
      </c>
      <c r="X196" s="4">
        <v>2E-3</v>
      </c>
      <c r="Y196" s="4">
        <v>0.01</v>
      </c>
    </row>
    <row r="197" spans="1:25">
      <c r="B197" s="2" t="s">
        <v>161</v>
      </c>
      <c r="C197" s="20">
        <v>0</v>
      </c>
      <c r="D197" s="20">
        <v>0</v>
      </c>
      <c r="E197" s="20">
        <v>0</v>
      </c>
      <c r="F197" s="20">
        <v>0</v>
      </c>
      <c r="G197" s="20">
        <v>0</v>
      </c>
      <c r="H197" s="20">
        <v>0</v>
      </c>
      <c r="I197" s="20">
        <v>0</v>
      </c>
      <c r="J197" s="20">
        <v>0.25</v>
      </c>
      <c r="K197" s="20">
        <v>0</v>
      </c>
      <c r="L197" s="20">
        <v>0</v>
      </c>
      <c r="M197" s="20">
        <v>1</v>
      </c>
      <c r="N197" s="20"/>
      <c r="O197" s="20"/>
      <c r="P197" s="20"/>
      <c r="Q197" s="20"/>
      <c r="R197" s="20"/>
      <c r="S197" s="20"/>
      <c r="T197" s="20"/>
      <c r="U197" s="20"/>
      <c r="W197" s="4" t="s">
        <v>161</v>
      </c>
      <c r="X197" s="4">
        <v>2E-3</v>
      </c>
      <c r="Y197" s="4">
        <v>0.01</v>
      </c>
    </row>
    <row r="198" spans="1:25">
      <c r="B198" s="2" t="s">
        <v>162</v>
      </c>
      <c r="C198" s="20">
        <v>0</v>
      </c>
      <c r="D198" s="20">
        <v>0</v>
      </c>
      <c r="E198" s="20">
        <v>0</v>
      </c>
      <c r="F198" s="20">
        <v>0</v>
      </c>
      <c r="G198" s="20">
        <v>0</v>
      </c>
      <c r="H198" s="20">
        <v>0</v>
      </c>
      <c r="I198" s="20">
        <v>0</v>
      </c>
      <c r="J198" s="20">
        <v>0</v>
      </c>
      <c r="K198" s="20">
        <v>0</v>
      </c>
      <c r="L198" s="20">
        <v>0</v>
      </c>
      <c r="M198" s="20">
        <v>0</v>
      </c>
      <c r="N198" s="20">
        <v>1</v>
      </c>
      <c r="O198" s="20"/>
      <c r="P198" s="20"/>
      <c r="Q198" s="20"/>
      <c r="R198" s="20"/>
      <c r="S198" s="20"/>
      <c r="T198" s="20"/>
      <c r="U198" s="20"/>
      <c r="W198" s="4" t="s">
        <v>162</v>
      </c>
      <c r="X198" s="4">
        <v>1.2E-2</v>
      </c>
      <c r="Y198" s="4">
        <v>0.06</v>
      </c>
    </row>
    <row r="199" spans="1:25">
      <c r="B199" s="2" t="s">
        <v>163</v>
      </c>
      <c r="C199" s="20">
        <v>0</v>
      </c>
      <c r="D199" s="20">
        <v>0</v>
      </c>
      <c r="E199" s="20">
        <v>0</v>
      </c>
      <c r="F199" s="20">
        <v>0</v>
      </c>
      <c r="G199" s="20">
        <v>0</v>
      </c>
      <c r="H199" s="20">
        <v>0</v>
      </c>
      <c r="I199" s="20">
        <v>0</v>
      </c>
      <c r="J199" s="20">
        <v>0</v>
      </c>
      <c r="K199" s="20">
        <v>0</v>
      </c>
      <c r="L199" s="20">
        <v>0</v>
      </c>
      <c r="M199" s="20">
        <v>0</v>
      </c>
      <c r="N199" s="20">
        <v>0</v>
      </c>
      <c r="O199" s="20">
        <v>1</v>
      </c>
      <c r="P199" s="20"/>
      <c r="Q199" s="20"/>
      <c r="R199" s="20"/>
      <c r="S199" s="20"/>
      <c r="T199" s="20"/>
      <c r="U199" s="20"/>
      <c r="W199" s="4" t="s">
        <v>163</v>
      </c>
      <c r="X199" s="4">
        <v>0.04</v>
      </c>
      <c r="Y199" s="4">
        <v>0.2</v>
      </c>
    </row>
    <row r="200" spans="1:25">
      <c r="B200" s="2" t="s">
        <v>164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  <c r="P200" s="20">
        <v>1</v>
      </c>
      <c r="Q200" s="20"/>
      <c r="R200" s="20"/>
      <c r="S200" s="20"/>
      <c r="T200" s="20"/>
      <c r="U200" s="20"/>
      <c r="W200" s="4" t="s">
        <v>164</v>
      </c>
      <c r="X200" s="4">
        <v>0.23799999999999999</v>
      </c>
      <c r="Y200" s="4">
        <v>1.19</v>
      </c>
    </row>
    <row r="201" spans="1:25">
      <c r="B201" s="2" t="s">
        <v>165</v>
      </c>
      <c r="C201" s="20">
        <v>0</v>
      </c>
      <c r="D201" s="20">
        <v>0</v>
      </c>
      <c r="E201" s="20">
        <v>0</v>
      </c>
      <c r="F201" s="20">
        <v>0</v>
      </c>
      <c r="G201" s="20">
        <v>0</v>
      </c>
      <c r="H201" s="20">
        <v>0</v>
      </c>
      <c r="I201" s="20">
        <v>0</v>
      </c>
      <c r="J201" s="20">
        <v>0</v>
      </c>
      <c r="K201" s="20">
        <v>0</v>
      </c>
      <c r="L201" s="20">
        <v>0</v>
      </c>
      <c r="M201" s="20">
        <v>0</v>
      </c>
      <c r="N201" s="20">
        <v>0</v>
      </c>
      <c r="O201" s="20">
        <v>0</v>
      </c>
      <c r="P201" s="20">
        <v>0</v>
      </c>
      <c r="Q201" s="20">
        <v>1</v>
      </c>
      <c r="R201" s="20"/>
      <c r="S201" s="20"/>
      <c r="T201" s="20"/>
      <c r="U201" s="20"/>
      <c r="W201" s="4" t="s">
        <v>165</v>
      </c>
      <c r="X201" s="4">
        <v>3.7999999999999999E-2</v>
      </c>
      <c r="Y201" s="4">
        <v>0.19</v>
      </c>
    </row>
    <row r="202" spans="1:25">
      <c r="B202" s="2" t="s">
        <v>166</v>
      </c>
      <c r="C202" s="20">
        <v>0</v>
      </c>
      <c r="D202" s="20">
        <v>0</v>
      </c>
      <c r="E202" s="20">
        <v>0</v>
      </c>
      <c r="F202" s="20">
        <v>0</v>
      </c>
      <c r="G202" s="20">
        <v>0</v>
      </c>
      <c r="H202" s="20">
        <v>0</v>
      </c>
      <c r="I202" s="20">
        <v>0</v>
      </c>
      <c r="J202" s="20">
        <v>0</v>
      </c>
      <c r="K202" s="20">
        <v>0</v>
      </c>
      <c r="L202" s="20">
        <v>0</v>
      </c>
      <c r="M202" s="20">
        <v>0</v>
      </c>
      <c r="N202" s="20">
        <v>0</v>
      </c>
      <c r="O202" s="20">
        <v>0</v>
      </c>
      <c r="P202" s="20">
        <v>0</v>
      </c>
      <c r="Q202" s="20">
        <v>0</v>
      </c>
      <c r="R202" s="20">
        <v>1</v>
      </c>
      <c r="S202" s="20"/>
      <c r="T202" s="20"/>
      <c r="U202" s="20"/>
      <c r="W202" s="4" t="s">
        <v>166</v>
      </c>
      <c r="X202" s="4">
        <v>0.25800000000000001</v>
      </c>
      <c r="Y202" s="4">
        <v>1.29</v>
      </c>
    </row>
    <row r="203" spans="1:25">
      <c r="B203" s="2" t="s">
        <v>167</v>
      </c>
      <c r="C203" s="20">
        <v>0</v>
      </c>
      <c r="D203" s="20">
        <v>0</v>
      </c>
      <c r="E203" s="20">
        <v>0</v>
      </c>
      <c r="F203" s="20">
        <v>0</v>
      </c>
      <c r="G203" s="20">
        <v>0</v>
      </c>
      <c r="H203" s="20">
        <v>0</v>
      </c>
      <c r="I203" s="20">
        <v>0</v>
      </c>
      <c r="J203" s="20">
        <v>0</v>
      </c>
      <c r="K203" s="20">
        <v>0</v>
      </c>
      <c r="L203" s="20">
        <v>0</v>
      </c>
      <c r="M203" s="20">
        <v>0</v>
      </c>
      <c r="N203" s="20">
        <v>0</v>
      </c>
      <c r="O203" s="20">
        <v>0</v>
      </c>
      <c r="P203" s="20">
        <v>0</v>
      </c>
      <c r="Q203" s="20">
        <v>0</v>
      </c>
      <c r="R203" s="20">
        <v>0</v>
      </c>
      <c r="S203" s="20">
        <v>1</v>
      </c>
      <c r="T203" s="20"/>
      <c r="U203" s="20"/>
      <c r="W203" s="4" t="s">
        <v>167</v>
      </c>
      <c r="X203" s="4">
        <v>0.376</v>
      </c>
      <c r="Y203" s="4">
        <v>1.88</v>
      </c>
    </row>
    <row r="204" spans="1:25">
      <c r="B204" s="2" t="s">
        <v>168</v>
      </c>
      <c r="C204" s="20">
        <v>0</v>
      </c>
      <c r="D204" s="20">
        <v>0</v>
      </c>
      <c r="E204" s="20">
        <v>0</v>
      </c>
      <c r="F204" s="20">
        <v>0</v>
      </c>
      <c r="G204" s="20">
        <v>0</v>
      </c>
      <c r="H204" s="20">
        <v>0</v>
      </c>
      <c r="I204" s="20">
        <v>0</v>
      </c>
      <c r="J204" s="20">
        <v>0</v>
      </c>
      <c r="K204" s="20">
        <v>0</v>
      </c>
      <c r="L204" s="20">
        <v>0</v>
      </c>
      <c r="M204" s="20">
        <v>0</v>
      </c>
      <c r="N204" s="20">
        <v>0</v>
      </c>
      <c r="O204" s="20">
        <v>0</v>
      </c>
      <c r="P204" s="20">
        <v>0</v>
      </c>
      <c r="Q204" s="20">
        <v>0</v>
      </c>
      <c r="R204" s="20">
        <v>0</v>
      </c>
      <c r="S204" s="20">
        <v>0</v>
      </c>
      <c r="T204" s="20">
        <v>1</v>
      </c>
      <c r="U204" s="20"/>
      <c r="W204" s="4" t="s">
        <v>168</v>
      </c>
      <c r="X204" s="4">
        <v>0.376</v>
      </c>
      <c r="Y204" s="4">
        <v>1.88</v>
      </c>
    </row>
    <row r="205" spans="1:25">
      <c r="B205" s="2" t="s">
        <v>169</v>
      </c>
      <c r="C205" s="21">
        <v>0</v>
      </c>
      <c r="D205" s="21">
        <v>0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J205" s="21">
        <v>0</v>
      </c>
      <c r="K205" s="21">
        <v>0</v>
      </c>
      <c r="L205" s="21">
        <v>0</v>
      </c>
      <c r="M205" s="21">
        <v>0</v>
      </c>
      <c r="N205" s="21">
        <v>0</v>
      </c>
      <c r="O205" s="21">
        <v>0</v>
      </c>
      <c r="P205" s="21">
        <v>0</v>
      </c>
      <c r="Q205" s="21">
        <v>0</v>
      </c>
      <c r="R205" s="21">
        <v>0</v>
      </c>
      <c r="S205" s="21">
        <v>0</v>
      </c>
      <c r="T205" s="21">
        <v>0</v>
      </c>
      <c r="U205" s="21">
        <v>1</v>
      </c>
      <c r="W205" s="7" t="s">
        <v>169</v>
      </c>
      <c r="X205" s="7">
        <v>0.376</v>
      </c>
      <c r="Y205" s="7">
        <v>1.88</v>
      </c>
    </row>
    <row r="208" spans="1:25" s="27" customFormat="1">
      <c r="A208" s="26" t="s">
        <v>176</v>
      </c>
    </row>
    <row r="210" spans="2:3">
      <c r="B210" s="1" t="s">
        <v>177</v>
      </c>
      <c r="C210" s="1" t="s">
        <v>178</v>
      </c>
    </row>
    <row r="211" spans="2:3">
      <c r="B211" s="41">
        <v>1</v>
      </c>
      <c r="C211" s="41">
        <v>5</v>
      </c>
    </row>
    <row r="212" spans="2:3">
      <c r="B212" s="38">
        <v>200</v>
      </c>
      <c r="C212" s="38">
        <v>17</v>
      </c>
    </row>
    <row r="213" spans="2:3">
      <c r="B213" s="38">
        <v>400</v>
      </c>
      <c r="C213" s="38">
        <v>18</v>
      </c>
    </row>
    <row r="214" spans="2:3">
      <c r="B214" s="38">
        <v>1000</v>
      </c>
      <c r="C214" s="38">
        <v>19</v>
      </c>
    </row>
    <row r="215" spans="2:3">
      <c r="B215" s="38">
        <v>1400</v>
      </c>
      <c r="C215" s="38">
        <v>7</v>
      </c>
    </row>
    <row r="216" spans="2:3">
      <c r="B216" s="38">
        <v>1700</v>
      </c>
      <c r="C216" s="38">
        <v>6</v>
      </c>
    </row>
    <row r="217" spans="2:3">
      <c r="B217" s="38">
        <v>1800</v>
      </c>
      <c r="C217" s="38">
        <v>1</v>
      </c>
    </row>
    <row r="218" spans="2:3">
      <c r="B218" s="38">
        <v>2000</v>
      </c>
      <c r="C218" s="38">
        <v>6</v>
      </c>
    </row>
    <row r="219" spans="2:3">
      <c r="B219" s="38">
        <v>2200</v>
      </c>
      <c r="C219" s="38">
        <v>19</v>
      </c>
    </row>
    <row r="220" spans="2:3">
      <c r="B220" s="38">
        <v>2500</v>
      </c>
      <c r="C220" s="38">
        <v>17</v>
      </c>
    </row>
    <row r="221" spans="2:3">
      <c r="B221" s="38">
        <v>2900</v>
      </c>
      <c r="C221" s="38">
        <v>3</v>
      </c>
    </row>
    <row r="222" spans="2:3">
      <c r="B222" s="38">
        <v>3600</v>
      </c>
      <c r="C222" s="38">
        <v>9</v>
      </c>
    </row>
    <row r="223" spans="2:3">
      <c r="B223" s="38">
        <v>3700</v>
      </c>
      <c r="C223" s="38">
        <v>3</v>
      </c>
    </row>
    <row r="224" spans="2:3">
      <c r="B224" s="38">
        <v>4000</v>
      </c>
      <c r="C224" s="38">
        <v>9</v>
      </c>
    </row>
    <row r="225" spans="2:3">
      <c r="B225" s="38">
        <v>4150</v>
      </c>
      <c r="C225" s="38">
        <v>3</v>
      </c>
    </row>
    <row r="226" spans="2:3">
      <c r="B226" s="38">
        <v>4300</v>
      </c>
      <c r="C226" s="38">
        <v>9</v>
      </c>
    </row>
    <row r="227" spans="2:3">
      <c r="B227" s="38">
        <v>4450</v>
      </c>
      <c r="C227" s="38">
        <v>3</v>
      </c>
    </row>
    <row r="228" spans="2:3">
      <c r="B228" s="38">
        <v>4900</v>
      </c>
      <c r="C228" s="38">
        <v>16</v>
      </c>
    </row>
    <row r="229" spans="2:3">
      <c r="B229" s="38">
        <v>5200</v>
      </c>
      <c r="C229" s="38">
        <v>15</v>
      </c>
    </row>
    <row r="230" spans="2:3">
      <c r="B230" s="38">
        <v>5300</v>
      </c>
      <c r="C230" s="38">
        <v>14</v>
      </c>
    </row>
    <row r="231" spans="2:3">
      <c r="B231" s="38">
        <v>5800</v>
      </c>
      <c r="C231" s="38">
        <v>16</v>
      </c>
    </row>
    <row r="232" spans="2:3">
      <c r="B232" s="38">
        <v>6000</v>
      </c>
      <c r="C232" s="38">
        <v>13</v>
      </c>
    </row>
    <row r="233" spans="2:3">
      <c r="B233" s="38">
        <v>6100</v>
      </c>
      <c r="C233" s="38">
        <v>14</v>
      </c>
    </row>
    <row r="234" spans="2:3">
      <c r="B234" s="38">
        <v>6200</v>
      </c>
      <c r="C234" s="38">
        <v>16</v>
      </c>
    </row>
    <row r="235" spans="2:3">
      <c r="B235" s="38">
        <v>6300</v>
      </c>
      <c r="C235" s="38">
        <v>12</v>
      </c>
    </row>
    <row r="236" spans="2:3">
      <c r="B236" s="38">
        <v>6800</v>
      </c>
      <c r="C236" s="38">
        <v>11</v>
      </c>
    </row>
    <row r="237" spans="2:3">
      <c r="B237" s="38">
        <v>6900</v>
      </c>
      <c r="C237" s="38">
        <v>2</v>
      </c>
    </row>
    <row r="238" spans="2:3">
      <c r="B238" s="38">
        <v>7100</v>
      </c>
      <c r="C238" s="38">
        <v>8</v>
      </c>
    </row>
    <row r="239" spans="2:3">
      <c r="B239" s="38">
        <v>7200</v>
      </c>
      <c r="C239" s="38">
        <v>10</v>
      </c>
    </row>
    <row r="240" spans="2:3">
      <c r="B240" s="38">
        <v>7400</v>
      </c>
      <c r="C240" s="38">
        <v>8</v>
      </c>
    </row>
    <row r="241" spans="2:4">
      <c r="B241" s="38">
        <v>7600</v>
      </c>
      <c r="C241" s="38">
        <v>11</v>
      </c>
    </row>
    <row r="242" spans="2:4">
      <c r="B242" s="38">
        <v>7700</v>
      </c>
      <c r="C242" s="38">
        <v>8</v>
      </c>
    </row>
    <row r="243" spans="2:4">
      <c r="B243" s="38">
        <v>8100</v>
      </c>
      <c r="C243" s="38">
        <v>2</v>
      </c>
    </row>
    <row r="244" spans="2:4">
      <c r="B244" s="39">
        <v>9000</v>
      </c>
      <c r="C244" s="39">
        <v>2</v>
      </c>
      <c r="D244" s="40" t="s">
        <v>179</v>
      </c>
    </row>
    <row r="245" spans="2:4">
      <c r="B245" s="38">
        <v>9300</v>
      </c>
      <c r="C245" s="38">
        <v>4</v>
      </c>
    </row>
    <row r="246" spans="2:4">
      <c r="B246" s="38">
        <v>9750</v>
      </c>
      <c r="C246" s="38">
        <v>14</v>
      </c>
    </row>
    <row r="247" spans="2:4">
      <c r="B247" s="38">
        <v>9800</v>
      </c>
      <c r="C247" s="38">
        <v>4</v>
      </c>
    </row>
    <row r="248" spans="2:4">
      <c r="B248" s="38">
        <v>9999</v>
      </c>
      <c r="C248" s="38">
        <v>4</v>
      </c>
    </row>
    <row r="249" spans="2:4">
      <c r="B249" s="43">
        <v>10000</v>
      </c>
      <c r="C249" s="43">
        <v>4</v>
      </c>
      <c r="D249" s="40" t="s">
        <v>179</v>
      </c>
    </row>
  </sheetData>
  <sheetProtection sheet="1" objects="1" scenarios="1"/>
  <hyperlinks>
    <hyperlink ref="B7" location="metadata!A14" display="Factor Based Charges" xr:uid="{D876F6B9-720C-4B46-A5AF-4CD9E9877BE5}"/>
    <hyperlink ref="B8" location="metadata!A40" display="Premium and Reserve Risk Factors" xr:uid="{AE9F7986-E45F-4674-8D4C-8006ACDD3B07}"/>
    <hyperlink ref="B9" location="metadata!A85" display="Spread Risk Charges" xr:uid="{3C7D190F-2AE9-4717-84BA-6F748F2794E8}"/>
    <hyperlink ref="B10" location="metadata!A109" display="Interest Rate Curves Shocks" xr:uid="{3DED220D-6B7D-4B17-9D5D-9DC388877DBA}"/>
    <hyperlink ref="B11" location="metadata!A146" display="Earthquake Charges" xr:uid="{B5AA1548-AAC4-4EE6-B4BE-6D4D7F1375A4}"/>
    <hyperlink ref="B12" location="metadata!A182" display="Hail Charges" xr:uid="{CF6CB5E6-1B7E-4333-BA8F-9B15B647621A}"/>
    <hyperlink ref="B13" location="metadata!A208" display="Zone Mapping" xr:uid="{E2113ED5-1940-4DBD-B91F-E6ABF444BC01}"/>
  </hyperlink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AB0D-55E9-4DA5-80F2-48481FC594B7}">
  <sheetPr codeName="wFunctions"/>
  <dimension ref="A1:L18"/>
  <sheetViews>
    <sheetView tabSelected="1" workbookViewId="0">
      <selection activeCell="A4" sqref="A4"/>
    </sheetView>
  </sheetViews>
  <sheetFormatPr defaultRowHeight="14.5"/>
  <cols>
    <col min="1" max="1" width="1.6328125" customWidth="1"/>
    <col min="2" max="2" width="14.08984375" bestFit="1" customWidth="1"/>
    <col min="3" max="3" width="61.90625" bestFit="1" customWidth="1"/>
    <col min="4" max="4" width="16" bestFit="1" customWidth="1"/>
    <col min="5" max="5" width="55.1796875" bestFit="1" customWidth="1"/>
    <col min="6" max="6" width="31.6328125" bestFit="1" customWidth="1"/>
    <col min="7" max="7" width="58.90625" bestFit="1" customWidth="1"/>
    <col min="8" max="8" width="42.81640625" bestFit="1" customWidth="1"/>
    <col min="9" max="9" width="52.6328125" bestFit="1" customWidth="1"/>
    <col min="10" max="10" width="51.6328125" bestFit="1" customWidth="1"/>
    <col min="11" max="11" width="45" bestFit="1" customWidth="1"/>
    <col min="12" max="12" width="33.90625" bestFit="1" customWidth="1"/>
  </cols>
  <sheetData>
    <row r="1" spans="1:12">
      <c r="A1" t="str" cm="1">
        <f t="array" aca="1" ref="A1" ca="1">CELL("filename",A1)</f>
        <v>C:\Sync\git_hub\vba_samplicity\[02_magnus_reinsurance.xlsm]functions</v>
      </c>
    </row>
    <row r="2" spans="1:12">
      <c r="A2" s="14" t="s">
        <v>206</v>
      </c>
    </row>
    <row r="3" spans="1:12">
      <c r="A3" s="14" t="s">
        <v>501</v>
      </c>
    </row>
    <row r="4" spans="1:12">
      <c r="A4" s="14"/>
    </row>
    <row r="5" spans="1:12">
      <c r="B5" s="1" t="s">
        <v>122</v>
      </c>
      <c r="C5" s="1" t="s">
        <v>131</v>
      </c>
      <c r="D5" s="1" t="s">
        <v>123</v>
      </c>
      <c r="E5" s="1" t="s">
        <v>186</v>
      </c>
      <c r="F5" s="1" t="s">
        <v>124</v>
      </c>
      <c r="G5" s="1" t="s">
        <v>125</v>
      </c>
      <c r="H5" s="1" t="s">
        <v>126</v>
      </c>
      <c r="I5" s="1" t="s">
        <v>127</v>
      </c>
      <c r="J5" s="1" t="s">
        <v>128</v>
      </c>
      <c r="K5" s="1" t="s">
        <v>129</v>
      </c>
      <c r="L5" s="1" t="s">
        <v>130</v>
      </c>
    </row>
    <row r="6" spans="1:12">
      <c r="B6" s="3" t="s">
        <v>132</v>
      </c>
      <c r="C6" s="3" t="s">
        <v>181</v>
      </c>
      <c r="D6" s="3" t="s">
        <v>433</v>
      </c>
      <c r="E6" s="3" t="s">
        <v>187</v>
      </c>
      <c r="F6" s="3" t="s">
        <v>133</v>
      </c>
      <c r="G6" s="3" t="s">
        <v>134</v>
      </c>
      <c r="H6" s="3" t="s">
        <v>135</v>
      </c>
      <c r="I6" s="3"/>
      <c r="J6" s="3"/>
      <c r="K6" s="3"/>
      <c r="L6" s="3"/>
    </row>
    <row r="7" spans="1:12">
      <c r="B7" s="4" t="s">
        <v>440</v>
      </c>
      <c r="C7" s="4" t="s">
        <v>441</v>
      </c>
      <c r="D7" s="4" t="s">
        <v>433</v>
      </c>
      <c r="E7" t="s">
        <v>444</v>
      </c>
      <c r="F7" s="4" t="s">
        <v>442</v>
      </c>
      <c r="G7" s="4" t="s">
        <v>494</v>
      </c>
      <c r="H7" s="4" t="s">
        <v>445</v>
      </c>
      <c r="I7" s="4" t="s">
        <v>443</v>
      </c>
      <c r="J7" s="4"/>
      <c r="K7" s="4"/>
      <c r="L7" s="4"/>
    </row>
    <row r="8" spans="1:12"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1:12"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1:12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1:12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2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2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2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1:12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2:12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spans="2:12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24</vt:i4>
      </vt:variant>
    </vt:vector>
  </HeadingPairs>
  <TitlesOfParts>
    <vt:vector size="40" baseType="lpstr">
      <vt:lpstr>NOTICE</vt:lpstr>
      <vt:lpstr>LICENSE</vt:lpstr>
      <vt:lpstr>Index</vt:lpstr>
      <vt:lpstr>Notes</vt:lpstr>
      <vt:lpstr>Inputs &gt;&gt;&gt;</vt:lpstr>
      <vt:lpstr>prem_res</vt:lpstr>
      <vt:lpstr>reinsurance_setup</vt:lpstr>
      <vt:lpstr>Outputs &gt;&gt;&gt;</vt:lpstr>
      <vt:lpstr>PremRes</vt:lpstr>
      <vt:lpstr>Reinsurance</vt:lpstr>
      <vt:lpstr>Reinsurance Proof &gt;&gt;&gt;</vt:lpstr>
      <vt:lpstr>Reinsurance Calculation</vt:lpstr>
      <vt:lpstr>Summary</vt:lpstr>
      <vt:lpstr>Metadata &gt;&gt;&gt;</vt:lpstr>
      <vt:lpstr>metadata</vt:lpstr>
      <vt:lpstr>functions</vt:lpstr>
      <vt:lpstr>rContract</vt:lpstr>
      <vt:lpstr>rCorrelation</vt:lpstr>
      <vt:lpstr>rCounterparty</vt:lpstr>
      <vt:lpstr>rEQCommCorr</vt:lpstr>
      <vt:lpstr>rEQContCorr</vt:lpstr>
      <vt:lpstr>rEQCoverCharge</vt:lpstr>
      <vt:lpstr>rEQCoverCorr</vt:lpstr>
      <vt:lpstr>rEQEngCorr</vt:lpstr>
      <vt:lpstr>rEQMotorCorr</vt:lpstr>
      <vt:lpstr>rEQResCorr</vt:lpstr>
      <vt:lpstr>rEQZoneCoverCharge</vt:lpstr>
      <vt:lpstr>rFactorCharges</vt:lpstr>
      <vt:lpstr>rFactorNPCharges</vt:lpstr>
      <vt:lpstr>rFunc</vt:lpstr>
      <vt:lpstr>rHailCorr</vt:lpstr>
      <vt:lpstr>rHailZoneCoverCharge</vt:lpstr>
      <vt:lpstr>rNominalShock</vt:lpstr>
      <vt:lpstr>rPremRes</vt:lpstr>
      <vt:lpstr>rProgramme</vt:lpstr>
      <vt:lpstr>rRealShock</vt:lpstr>
      <vt:lpstr>rShare</vt:lpstr>
      <vt:lpstr>rSpread</vt:lpstr>
      <vt:lpstr>rStdDev</vt:lpstr>
      <vt:lpstr>rZoneMapping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Hogarth</dc:creator>
  <cp:lastModifiedBy>Clive Hogarth</cp:lastModifiedBy>
  <dcterms:created xsi:type="dcterms:W3CDTF">2025-09-12T19:23:35Z</dcterms:created>
  <dcterms:modified xsi:type="dcterms:W3CDTF">2026-05-24T20:10:20Z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8d4591-3dfa-47bd-a0fe-27cfbf2a5e17_Enabled">
    <vt:lpwstr>true</vt:lpwstr>
  </property>
  <property fmtid="{D5CDD505-2E9C-101B-9397-08002B2CF9AE}" pid="3" name="MSIP_Label_248d4591-3dfa-47bd-a0fe-27cfbf2a5e17_SetDate">
    <vt:lpwstr>2025-09-12T21:11:33Z</vt:lpwstr>
  </property>
  <property fmtid="{D5CDD505-2E9C-101B-9397-08002B2CF9AE}" pid="4" name="MSIP_Label_248d4591-3dfa-47bd-a0fe-27cfbf2a5e17_Method">
    <vt:lpwstr>Standard</vt:lpwstr>
  </property>
  <property fmtid="{D5CDD505-2E9C-101B-9397-08002B2CF9AE}" pid="5" name="MSIP_Label_248d4591-3dfa-47bd-a0fe-27cfbf2a5e17_Name">
    <vt:lpwstr>Control Disclosure</vt:lpwstr>
  </property>
  <property fmtid="{D5CDD505-2E9C-101B-9397-08002B2CF9AE}" pid="6" name="MSIP_Label_248d4591-3dfa-47bd-a0fe-27cfbf2a5e17_SiteId">
    <vt:lpwstr>9cea85f3-a573-4c2a-8071-9288b3c683b5</vt:lpwstr>
  </property>
  <property fmtid="{D5CDD505-2E9C-101B-9397-08002B2CF9AE}" pid="7" name="MSIP_Label_248d4591-3dfa-47bd-a0fe-27cfbf2a5e17_ActionId">
    <vt:lpwstr>b2fb5a28-217b-457e-bbd2-023626c287c3</vt:lpwstr>
  </property>
  <property fmtid="{D5CDD505-2E9C-101B-9397-08002B2CF9AE}" pid="8" name="MSIP_Label_248d4591-3dfa-47bd-a0fe-27cfbf2a5e17_ContentBits">
    <vt:lpwstr>2</vt:lpwstr>
  </property>
  <property fmtid="{D5CDD505-2E9C-101B-9397-08002B2CF9AE}" pid="9" name="MSIP_Label_248d4591-3dfa-47bd-a0fe-27cfbf2a5e17_Tag">
    <vt:lpwstr>10, 3, 0, 1</vt:lpwstr>
  </property>
</Properties>
</file>