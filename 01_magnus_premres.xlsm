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ync\git_hub\vba_samplicity\"/>
    </mc:Choice>
  </mc:AlternateContent>
  <xr:revisionPtr revIDLastSave="0" documentId="13_ncr:2001_{B3920426-8E29-4079-8465-D29CE05F66A1}" xr6:coauthVersionLast="47" xr6:coauthVersionMax="47" xr10:uidLastSave="{00000000-0000-0000-0000-000000000000}"/>
  <bookViews>
    <workbookView xWindow="-38520" yWindow="1740" windowWidth="38640" windowHeight="15720" tabRatio="842" activeTab="3" xr2:uid="{D503991A-17E5-4641-ABD0-042CD294AC8C}"/>
  </bookViews>
  <sheets>
    <sheet name="NOTICE" sheetId="70" r:id="rId1"/>
    <sheet name="LICENSE" sheetId="71" r:id="rId2"/>
    <sheet name="Index" sheetId="25" r:id="rId3"/>
    <sheet name="Notes" sheetId="69" r:id="rId4"/>
    <sheet name="Inputs &gt;&gt;&gt;" sheetId="26" r:id="rId5"/>
    <sheet name="prem_res" sheetId="1" r:id="rId6"/>
    <sheet name="Outputs &gt;&gt;&gt;" sheetId="28" r:id="rId7"/>
    <sheet name="PremRes" sheetId="4" r:id="rId8"/>
    <sheet name="PremRes Proof &gt;&gt;&gt;" sheetId="62" r:id="rId9"/>
    <sheet name="Correlation Matrix" sheetId="58" r:id="rId10"/>
    <sheet name="Calculated Correlation Matrix" sheetId="63" r:id="rId11"/>
    <sheet name="PremRes Replication" sheetId="59" r:id="rId12"/>
    <sheet name="Summary" sheetId="61" r:id="rId13"/>
    <sheet name="Example Profile Output&gt;&gt;&gt;" sheetId="66" r:id="rId14"/>
    <sheet name="Profile_20260119_233003" sheetId="65" r:id="rId15"/>
    <sheet name="Profile_20260119_235016" sheetId="67" r:id="rId16"/>
    <sheet name="Metadata &gt;&gt;&gt;" sheetId="27" r:id="rId17"/>
    <sheet name="metadata" sheetId="5" r:id="rId18"/>
    <sheet name="functions" sheetId="10" r:id="rId19"/>
  </sheets>
  <functionGroups builtInGroupCount="19"/>
  <definedNames>
    <definedName name="_xlnm._FilterDatabase" localSheetId="5" hidden="1">prem_res!$B$5:$W$45</definedName>
    <definedName name="_xleta.HSTACK" hidden="1" xlm="1">#NAME?</definedName>
    <definedName name="_xleta.IF" hidden="1" xlm="1">#NAME?</definedName>
    <definedName name="_xleta.INDEX" hidden="1" xlm="1">#NAME?</definedName>
    <definedName name="_xleta.T" hidden="1" xlm="1">#NAME?</definedName>
    <definedName name="_xlpm._" hidden="1" xlm="1">#NAME?</definedName>
    <definedName name="_xlpm.__" hidden="1" xlm="1">#NAME?</definedName>
    <definedName name="_xlpm.c" hidden="1" xlm="1">#NAME?</definedName>
    <definedName name="_xlpm.calc_count" hidden="1" xlm="1">#NAME?</definedName>
    <definedName name="_xlpm.div__filt" hidden="1" xlm="1">#NAME?</definedName>
    <definedName name="_xlpm.div_1_filt" hidden="1" xlm="1">#NAME?</definedName>
    <definedName name="_xlpm.div_2_filt" hidden="1" xlm="1">#NAME?</definedName>
    <definedName name="_xlpm.divions" hidden="1" xlm="1">#NAME?</definedName>
    <definedName name="_xlpm.division1" hidden="1" xlm="1">#NAME?</definedName>
    <definedName name="_xlpm.division2" hidden="1" xlm="1">#NAME?</definedName>
    <definedName name="_xlpm.divisions" hidden="1" xlm="1">#NAME?</definedName>
    <definedName name="_xlpm.divisons" hidden="1" xlm="1">#NAME?</definedName>
    <definedName name="_xlpm.divsions" hidden="1" xlm="1">#NAME?</definedName>
    <definedName name="_xlpm.lob" hidden="1" xlm="1">#NAME?</definedName>
    <definedName name="_xlpm.lob_type" hidden="1" xlm="1">#NAME?</definedName>
    <definedName name="_xlpm.n" hidden="1" xlm="1">#NAME?</definedName>
    <definedName name="_xlpm.newColValues" hidden="1" xlm="1">#NAME?</definedName>
    <definedName name="_xlpm.original_table" hidden="1" xlm="1">#NAME?</definedName>
    <definedName name="_xlpm.originalTable" hidden="1" xlm="1">#NAME?</definedName>
    <definedName name="_xlpm.prem" hidden="1" xlm="1">#NAME?</definedName>
    <definedName name="_xlpm.prem_res" hidden="1" xlm="1">#NAME?</definedName>
    <definedName name="_xlpm.r" hidden="1" xlm="1">#NAME?</definedName>
    <definedName name="_xlpm.reinsurance" hidden="1" xlm="1">#NAME?</definedName>
    <definedName name="_xlpm.reinsurers" hidden="1" xlm="1">#NAME?</definedName>
    <definedName name="_xlpm.row_div" hidden="1" xlm="1">#NAME?</definedName>
    <definedName name="_xlpm.row_ri" hidden="1" xlm="1">#NAME?</definedName>
    <definedName name="_xlpm.rowcount" hidden="1" xlm="1">#NAME?</definedName>
    <definedName name="_xlpm.rows_div" hidden="1" xlm="1">#NAME?</definedName>
    <definedName name="rCorrelation">metadata!$B$43:$AO$82</definedName>
    <definedName name="rEQCommCorr">metadata!$X$161:$AP$179</definedName>
    <definedName name="rEQContCorr">metadata!$AS$161:$BK$179</definedName>
    <definedName name="rEQCoverCharge">metadata!$J$151:$J$155</definedName>
    <definedName name="rEQCoverCorr">metadata!$C$151:$G$155</definedName>
    <definedName name="rEQEngCorr">metadata!$BN$161:$CF$179</definedName>
    <definedName name="rEQMotorCorr">metadata!$CI$161:$DA$179</definedName>
    <definedName name="rEQResCorr">metadata!$C$161:$U$179</definedName>
    <definedName name="rEQZoneCoverCharge">metadata!$DD$161:$DH$179</definedName>
    <definedName name="rFactorCharges">metadata!$B$19:$E$37</definedName>
    <definedName name="rFactorNPCharges">metadata!$H$19:$K$21</definedName>
    <definedName name="rFunc">functions!$B$5:$L$5</definedName>
    <definedName name="rHailCorr">metadata!$C$187:$U$205</definedName>
    <definedName name="rHailZoneCoverCharge">metadata!$X$187:$Y$205</definedName>
    <definedName name="rNominalShock">metadata!$B$111:$D$143</definedName>
    <definedName name="rPremRes">prem_res!$B$5:$W$45</definedName>
    <definedName name="rRealShock">metadata!$F$111:$H$143</definedName>
    <definedName name="rShare">prem_res!$Y$5:$AA$17</definedName>
    <definedName name="rSpread">metadata!$B$87:$I$106</definedName>
    <definedName name="rStdDev">metadata!$AQ$43:$AS$82</definedName>
    <definedName name="rZoneMapping">metadata!$B$210:$C$249</definedName>
  </definedNames>
  <calcPr calcId="191029"/>
  <fileRecoveryPr repairLoad="1"/>
  <extLst>
    <ext xmlns:x14="http://schemas.microsoft.com/office/spreadsheetml/2009/9/main" uri="{8193D73E-4604-4355-AFF4-8A2333D13BE4}">
      <x14:definedNames>
        <x14:definedName name="Concentration">
          <x14:argumentDescriptions count="5">
            <x14:argumentDescription index="0">The counterparty data.</x14:argumentDescription>
            <x14:argumentDescription index="1">The mdetailed instrument level market data.</x14:argumentDescription>
            <x14:argumentDescription index="2">The portfolio allocations.</x14:argumentDescription>
            <x14:argumentDescription index="3">The asset mapping table.</x14:argumentDescription>
            <x14:argumentDescription index="4">Optional, the number of levels to include in the calculation.</x14:argumentDescription>
          </x14:argumentDescriptions>
        </x14:definedName>
        <x14:definedName name="FactorNatCat">
          <x14:argumentDescriptions count="6">
            <x14:argumentDescription index="0">The premium and reserve risk data.</x14:argumentDescription>
            <x14:argumentDescription index="1">Optional, the number of levels to include in the calculation.</x14:argumentDescription>
            <x14:argumentDescription index="2">Optional, if the data should be return in a normalised fashion.</x14:argumentDescription>
            <x14:argumentDescription index="3">Optional, the different reinsurance contracts.</x14:argumentDescription>
            <x14:argumentDescription index="4">Optional, details of the reinsurance counterparties.</x14:argumentDescription>
            <x14:argumentDescription index="5">Optional, the reinsurance programme.</x14:argumentDescription>
          </x14:argumentDescriptions>
        </x14:definedName>
        <x14:definedName name="FactorNPCat">
          <x14:argumentDescriptions count="6">
            <x14:argumentDescription index="0">The premium and reserve risk data.</x14:argumentDescription>
            <x14:argumentDescription index="1">Optional, the number of levels to include in the calculation.</x14:argumentDescription>
            <x14:argumentDescription index="2">Optional, if the data should be return in a normalised fashion.</x14:argumentDescription>
            <x14:argumentDescription index="3">Optional, the different reinsurance contracts.</x14:argumentDescription>
            <x14:argumentDescription index="4">Optional, details of the reinsurance counterparties.</x14:argumentDescription>
            <x14:argumentDescription index="5">Optional, the reinsurance programme.</x14:argumentDescription>
          </x14:argumentDescriptions>
        </x14:definedName>
        <x14:definedName name="NatCatRisk">
          <x14:argumentDescriptions count="7">
            <x14:argumentDescription index="0">The sum insured data.</x14:argumentDescription>
            <x14:argumentDescription index="1">Optional, The zone to use for hail risk when no, or an invalid, postal code is provided.</x14:argumentDescription>
            <x14:argumentDescription index="2">Optional, The zone to use for earthquake risk when no, or an invalid, postal code is provided.</x14:argumentDescription>
            <x14:argumentDescription index="3">Optional, the number of levels to include in the calculation.</x14:argumentDescription>
            <x14:argumentDescription index="4">Optional, the different reinsurance contracts.</x14:argumentDescription>
            <x14:argumentDescription index="5">Optional, details of the reinsurance counterparties.</x14:argumentDescription>
            <x14:argumentDescription index="6">Optional, the reinsurance programme.</x14:argumentDescription>
          </x14:argumentDescriptions>
        </x14:definedName>
        <x14:definedName name="PremRes">
          <x14:argumentDescriptions count="4">
            <x14:argumentDescription index="0">The premium and reserve risk data.</x14:argumentDescription>
            <x14:argumentDescription index="1">The counterparty data, detailing the shares held by each reinsurer.</x14:argumentDescription>
            <x14:argumentDescription index="2">Optional, the number of levels to include in the calculation.</x14:argumentDescription>
            <x14:argumentDescription index="3">Optional, if the data should be return in a normalised fashion.</x14:argumentDescription>
          </x14:argumentDescriptions>
        </x14:definedName>
        <x14:definedName name="SpotCurve">
          <x14:argumentDescriptions count="3">
            <x14:argumentDescription index="0">The valuation date</x14:argumentDescription>
            <x14:argumentDescription index="1">The nominal interest data provided by the PA.</x14:argumentDescription>
            <x14:argumentDescription index="2">The real interest rate data provided by the PA.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7" i="1" l="1"/>
  <c r="A19" i="59" a="1"/>
  <c r="A19" i="59" s="1"/>
  <c r="A1" i="5" a="1"/>
  <c r="A1" i="5" s="1"/>
  <c r="A1" i="69" a="1"/>
  <c r="A1" i="69" s="1"/>
  <c r="A1" i="61" a="1"/>
  <c r="A1" i="61" s="1"/>
  <c r="A1" i="59" a="1"/>
  <c r="A1" i="59" s="1"/>
  <c r="A1" i="63" a="1"/>
  <c r="A1" i="63" s="1"/>
  <c r="D14" i="61" a="1"/>
  <c r="D14" i="61" s="1"/>
  <c r="A14" i="61" a="1"/>
  <c r="A14" i="61" s="1"/>
  <c r="D19" i="59" a="1"/>
  <c r="D19" i="59" s="1"/>
  <c r="B7" i="4" a="1"/>
  <c r="I7" i="4" a="1"/>
  <c r="B7" i="4" l="1"/>
  <c r="I7" i="4"/>
  <c r="F14" i="61" a="1"/>
  <c r="R130" i="61" l="1"/>
  <c r="Q121" i="61"/>
  <c r="P112" i="61"/>
  <c r="R102" i="61"/>
  <c r="Q93" i="61"/>
  <c r="P84" i="61"/>
  <c r="R74" i="61"/>
  <c r="Q65" i="61"/>
  <c r="P56" i="61"/>
  <c r="R46" i="61"/>
  <c r="Q37" i="61"/>
  <c r="P28" i="61"/>
  <c r="R18" i="61"/>
  <c r="R83" i="61"/>
  <c r="P65" i="61"/>
  <c r="R55" i="61"/>
  <c r="P37" i="61"/>
  <c r="R27" i="61"/>
  <c r="Q18" i="61"/>
  <c r="Q55" i="61"/>
  <c r="R36" i="61"/>
  <c r="Q27" i="61"/>
  <c r="R17" i="61"/>
  <c r="Q129" i="61"/>
  <c r="P120" i="61"/>
  <c r="R110" i="61"/>
  <c r="Q101" i="61"/>
  <c r="Q73" i="61"/>
  <c r="P64" i="61"/>
  <c r="R54" i="61"/>
  <c r="Q45" i="61"/>
  <c r="P36" i="61"/>
  <c r="R26" i="61"/>
  <c r="P129" i="61"/>
  <c r="R119" i="61"/>
  <c r="P101" i="61"/>
  <c r="R91" i="61"/>
  <c r="Q82" i="61"/>
  <c r="P73" i="61"/>
  <c r="Q54" i="61"/>
  <c r="P45" i="61"/>
  <c r="R35" i="61"/>
  <c r="Q26" i="61"/>
  <c r="R16" i="61"/>
  <c r="R128" i="61"/>
  <c r="Q119" i="61"/>
  <c r="P110" i="61"/>
  <c r="R100" i="61"/>
  <c r="P82" i="61"/>
  <c r="R72" i="61"/>
  <c r="Q63" i="61"/>
  <c r="R44" i="61"/>
  <c r="P26" i="61"/>
  <c r="Q16" i="61"/>
  <c r="Q128" i="61"/>
  <c r="R109" i="61"/>
  <c r="P91" i="61"/>
  <c r="Q72" i="61"/>
  <c r="P63" i="61"/>
  <c r="R53" i="61"/>
  <c r="Q44" i="61"/>
  <c r="R25" i="61"/>
  <c r="P128" i="61"/>
  <c r="R118" i="61"/>
  <c r="Q109" i="61"/>
  <c r="P100" i="61"/>
  <c r="R90" i="61"/>
  <c r="Q81" i="61"/>
  <c r="P72" i="61"/>
  <c r="R62" i="61"/>
  <c r="R34" i="61"/>
  <c r="Q25" i="61"/>
  <c r="R127" i="61"/>
  <c r="Q118" i="61"/>
  <c r="P109" i="61"/>
  <c r="Q90" i="61"/>
  <c r="P81" i="61"/>
  <c r="Q62" i="61"/>
  <c r="P53" i="61"/>
  <c r="Q34" i="61"/>
  <c r="P25" i="61"/>
  <c r="Q15" i="61"/>
  <c r="P62" i="61"/>
  <c r="Q43" i="61"/>
  <c r="R24" i="61"/>
  <c r="Q130" i="61"/>
  <c r="P121" i="61"/>
  <c r="R111" i="61"/>
  <c r="Q102" i="61"/>
  <c r="P93" i="61"/>
  <c r="Q74" i="61"/>
  <c r="Q46" i="61"/>
  <c r="R82" i="61"/>
  <c r="Q35" i="61"/>
  <c r="R81" i="61"/>
  <c r="R71" i="61"/>
  <c r="P130" i="61"/>
  <c r="R120" i="61"/>
  <c r="Q111" i="61"/>
  <c r="P102" i="61"/>
  <c r="R92" i="61"/>
  <c r="Q83" i="61"/>
  <c r="P74" i="61"/>
  <c r="R64" i="61"/>
  <c r="P46" i="61"/>
  <c r="P18" i="61"/>
  <c r="P17" i="61"/>
  <c r="Q110" i="61"/>
  <c r="P35" i="61"/>
  <c r="Q53" i="61"/>
  <c r="R43" i="61"/>
  <c r="P15" i="61"/>
  <c r="R129" i="61"/>
  <c r="Q120" i="61"/>
  <c r="P111" i="61"/>
  <c r="R101" i="61"/>
  <c r="Q92" i="61"/>
  <c r="P83" i="61"/>
  <c r="R73" i="61"/>
  <c r="Q64" i="61"/>
  <c r="P55" i="61"/>
  <c r="R45" i="61"/>
  <c r="Q36" i="61"/>
  <c r="P27" i="61"/>
  <c r="P92" i="61"/>
  <c r="R63" i="61"/>
  <c r="Q91" i="61"/>
  <c r="P54" i="61"/>
  <c r="Q100" i="61"/>
  <c r="P16" i="61"/>
  <c r="P44" i="61"/>
  <c r="R15" i="61"/>
  <c r="R99" i="61"/>
  <c r="P119" i="61"/>
  <c r="Q127" i="61"/>
  <c r="P118" i="61"/>
  <c r="R108" i="61"/>
  <c r="Q99" i="61"/>
  <c r="P90" i="61"/>
  <c r="R80" i="61"/>
  <c r="Q71" i="61"/>
  <c r="R52" i="61"/>
  <c r="P34" i="61"/>
  <c r="Q108" i="61"/>
  <c r="R89" i="61"/>
  <c r="Q126" i="61"/>
  <c r="P117" i="61"/>
  <c r="R107" i="61"/>
  <c r="Q98" i="61"/>
  <c r="P89" i="61"/>
  <c r="R79" i="61"/>
  <c r="Q70" i="61"/>
  <c r="P61" i="61"/>
  <c r="R51" i="61"/>
  <c r="Q42" i="61"/>
  <c r="P33" i="61"/>
  <c r="R23" i="61"/>
  <c r="P14" i="61"/>
  <c r="P126" i="61"/>
  <c r="R116" i="61"/>
  <c r="Q107" i="61"/>
  <c r="P98" i="61"/>
  <c r="R88" i="61"/>
  <c r="Q79" i="61"/>
  <c r="P70" i="61"/>
  <c r="R60" i="61"/>
  <c r="Q51" i="61"/>
  <c r="P42" i="61"/>
  <c r="R32" i="61"/>
  <c r="Q23" i="61"/>
  <c r="Q17" i="61"/>
  <c r="R125" i="61"/>
  <c r="Q116" i="61"/>
  <c r="P107" i="61"/>
  <c r="R97" i="61"/>
  <c r="Q88" i="61"/>
  <c r="P79" i="61"/>
  <c r="R69" i="61"/>
  <c r="P127" i="61"/>
  <c r="P108" i="61"/>
  <c r="P88" i="61"/>
  <c r="Q69" i="61"/>
  <c r="P52" i="61"/>
  <c r="R37" i="61"/>
  <c r="R19" i="61"/>
  <c r="Q106" i="61"/>
  <c r="R68" i="61"/>
  <c r="P19" i="61"/>
  <c r="P106" i="61"/>
  <c r="P87" i="61"/>
  <c r="Q50" i="61"/>
  <c r="Q32" i="61"/>
  <c r="R124" i="61"/>
  <c r="R86" i="61"/>
  <c r="Q14" i="61"/>
  <c r="Q105" i="61"/>
  <c r="R67" i="61"/>
  <c r="R31" i="61"/>
  <c r="P124" i="61"/>
  <c r="P105" i="61"/>
  <c r="P86" i="61"/>
  <c r="Q67" i="61"/>
  <c r="Q49" i="61"/>
  <c r="Q31" i="61"/>
  <c r="R123" i="61"/>
  <c r="R104" i="61"/>
  <c r="R85" i="61"/>
  <c r="P67" i="61"/>
  <c r="P49" i="61"/>
  <c r="P31" i="61"/>
  <c r="R126" i="61"/>
  <c r="R106" i="61"/>
  <c r="R87" i="61"/>
  <c r="P69" i="61"/>
  <c r="P51" i="61"/>
  <c r="R33" i="61"/>
  <c r="Q19" i="61"/>
  <c r="Q125" i="61"/>
  <c r="Q87" i="61"/>
  <c r="R50" i="61"/>
  <c r="Q33" i="61"/>
  <c r="P125" i="61"/>
  <c r="Q68" i="61"/>
  <c r="R14" i="61"/>
  <c r="R105" i="61"/>
  <c r="P68" i="61"/>
  <c r="P50" i="61"/>
  <c r="P32" i="61"/>
  <c r="Q124" i="61"/>
  <c r="Q86" i="61"/>
  <c r="R49" i="61"/>
  <c r="P60" i="61"/>
  <c r="P116" i="61"/>
  <c r="R77" i="61"/>
  <c r="Q96" i="61"/>
  <c r="P41" i="61"/>
  <c r="P96" i="61"/>
  <c r="R58" i="61"/>
  <c r="R95" i="61"/>
  <c r="Q114" i="61"/>
  <c r="P22" i="61"/>
  <c r="R39" i="61"/>
  <c r="R94" i="61"/>
  <c r="Q94" i="61"/>
  <c r="P21" i="61"/>
  <c r="R38" i="61"/>
  <c r="P71" i="61"/>
  <c r="Q20" i="61"/>
  <c r="P38" i="61"/>
  <c r="Q123" i="61"/>
  <c r="R66" i="61"/>
  <c r="R30" i="61"/>
  <c r="P85" i="61"/>
  <c r="Q30" i="61"/>
  <c r="R122" i="61"/>
  <c r="P30" i="61"/>
  <c r="Q84" i="61"/>
  <c r="P103" i="61"/>
  <c r="Q29" i="61"/>
  <c r="P80" i="61"/>
  <c r="P29" i="61"/>
  <c r="R78" i="61"/>
  <c r="P43" i="61"/>
  <c r="Q78" i="61"/>
  <c r="R59" i="61"/>
  <c r="Q41" i="61"/>
  <c r="P115" i="61"/>
  <c r="P114" i="61"/>
  <c r="P39" i="61"/>
  <c r="R20" i="61"/>
  <c r="R70" i="61"/>
  <c r="Q85" i="61"/>
  <c r="P104" i="61"/>
  <c r="Q48" i="61"/>
  <c r="R103" i="61"/>
  <c r="P66" i="61"/>
  <c r="Q103" i="61"/>
  <c r="R65" i="61"/>
  <c r="R29" i="61"/>
  <c r="Q80" i="61"/>
  <c r="Q47" i="61"/>
  <c r="R121" i="61"/>
  <c r="Q61" i="61"/>
  <c r="R98" i="61"/>
  <c r="Q60" i="61"/>
  <c r="Q97" i="61"/>
  <c r="P97" i="61"/>
  <c r="Q59" i="61"/>
  <c r="Q77" i="61"/>
  <c r="R40" i="61"/>
  <c r="Q40" i="61"/>
  <c r="P58" i="61"/>
  <c r="R57" i="61"/>
  <c r="Q57" i="61"/>
  <c r="P57" i="61"/>
  <c r="P75" i="61"/>
  <c r="Q112" i="61"/>
  <c r="Q104" i="61"/>
  <c r="R48" i="61"/>
  <c r="P123" i="61"/>
  <c r="Q66" i="61"/>
  <c r="R84" i="61"/>
  <c r="P48" i="61"/>
  <c r="Q122" i="61"/>
  <c r="R47" i="61"/>
  <c r="R61" i="61"/>
  <c r="P99" i="61"/>
  <c r="P47" i="61"/>
  <c r="R117" i="61"/>
  <c r="R28" i="61"/>
  <c r="R42" i="61"/>
  <c r="P78" i="61"/>
  <c r="P24" i="61"/>
  <c r="P59" i="61"/>
  <c r="R114" i="61"/>
  <c r="R75" i="61"/>
  <c r="R112" i="61"/>
  <c r="P122" i="61"/>
  <c r="Q117" i="61"/>
  <c r="Q28" i="61"/>
  <c r="R41" i="61"/>
  <c r="Q24" i="61"/>
  <c r="R96" i="61"/>
  <c r="Q115" i="61"/>
  <c r="P23" i="61"/>
  <c r="P77" i="61"/>
  <c r="R22" i="61"/>
  <c r="R76" i="61"/>
  <c r="Q22" i="61"/>
  <c r="Q95" i="61"/>
  <c r="P40" i="61"/>
  <c r="P76" i="61"/>
  <c r="R113" i="61"/>
  <c r="Q21" i="61"/>
  <c r="Q75" i="61"/>
  <c r="P113" i="61"/>
  <c r="R56" i="61"/>
  <c r="R93" i="61"/>
  <c r="Q38" i="61"/>
  <c r="Q52" i="61"/>
  <c r="R115" i="61"/>
  <c r="Q58" i="61"/>
  <c r="Q76" i="61"/>
  <c r="P95" i="61"/>
  <c r="R21" i="61"/>
  <c r="Q39" i="61"/>
  <c r="Q113" i="61"/>
  <c r="P94" i="61"/>
  <c r="Q56" i="61"/>
  <c r="Q89" i="61"/>
  <c r="P20" i="61"/>
  <c r="G8" i="61" a="1"/>
  <c r="G8" i="61" s="1"/>
  <c r="F8" i="61" a="1"/>
  <c r="F8" i="61" s="1"/>
  <c r="H8" i="61" a="1"/>
  <c r="H8" i="61" s="1"/>
  <c r="F14" i="61"/>
  <c r="K14" i="61" s="1" a="1"/>
  <c r="K14" i="61" s="1"/>
  <c r="C6" i="59" l="1" a="1"/>
  <c r="C6" i="59" l="1"/>
  <c r="K19" i="59" a="1"/>
  <c r="K19" i="59" s="1"/>
  <c r="B7" i="58" l="1" a="1"/>
  <c r="B7" i="58" s="1"/>
  <c r="A1" i="58" a="1"/>
  <c r="A1" i="58" s="1"/>
  <c r="C19" i="59" l="1" a="1"/>
  <c r="C19" i="59" s="1"/>
  <c r="B19" i="59" a="1"/>
  <c r="B19" i="59" l="1"/>
  <c r="S19" i="59" l="1" a="1"/>
  <c r="S19" i="59" s="1"/>
  <c r="AS19" i="59" l="1" a="1"/>
  <c r="AP19" i="59" a="1"/>
  <c r="AP19" i="59" s="1"/>
  <c r="AP16" i="59" s="1"/>
  <c r="AR19" i="59" a="1"/>
  <c r="AR19" i="59" s="1"/>
  <c r="AI19" i="59" a="1"/>
  <c r="AI19" i="59" s="1"/>
  <c r="BD19" i="59" s="1" a="1"/>
  <c r="BD19" i="59" s="1"/>
  <c r="BD16" i="59" s="1"/>
  <c r="AG19" i="59" a="1"/>
  <c r="AG19" i="59" s="1"/>
  <c r="AD19" i="59" a="1"/>
  <c r="AX19" i="59" a="1"/>
  <c r="AX19" i="59" s="1"/>
  <c r="AX16" i="59" s="1"/>
  <c r="AT19" i="59" a="1"/>
  <c r="AT19" i="59" s="1"/>
  <c r="AT16" i="59" s="1"/>
  <c r="AU19" i="59" a="1"/>
  <c r="AU19" i="59" s="1"/>
  <c r="AU16" i="59" s="1"/>
  <c r="AE19" i="59" a="1"/>
  <c r="AE19" i="59" s="1"/>
  <c r="Y19" i="59" a="1"/>
  <c r="AB19" i="59" a="1"/>
  <c r="AB19" i="59" s="1"/>
  <c r="AJ19" i="59" a="1"/>
  <c r="AJ19" i="59" s="1"/>
  <c r="AM19" i="59" a="1"/>
  <c r="AV19" i="59" a="1"/>
  <c r="AV19" i="59" s="1"/>
  <c r="AV16" i="59" s="1"/>
  <c r="AY19" i="59" a="1"/>
  <c r="AY19" i="59" s="1"/>
  <c r="AY16" i="59" s="1"/>
  <c r="AC19" i="59" a="1"/>
  <c r="AC19" i="59" s="1"/>
  <c r="AF19" i="59" a="1"/>
  <c r="T19" i="59" a="1"/>
  <c r="T19" i="59" s="1"/>
  <c r="U19" i="59" s="1" a="1"/>
  <c r="W19" i="59" a="1"/>
  <c r="AN19" i="59" a="1"/>
  <c r="AQ19" i="59" a="1"/>
  <c r="AQ19" i="59" s="1"/>
  <c r="BF19" i="59" s="1" a="1"/>
  <c r="AW19" i="59" a="1"/>
  <c r="AW19" i="59" s="1"/>
  <c r="AW16" i="59" s="1"/>
  <c r="AA19" i="59" a="1"/>
  <c r="AA19" i="59" s="1"/>
  <c r="AH19" i="59" a="1"/>
  <c r="AH19" i="59" s="1"/>
  <c r="Z19" i="59" a="1"/>
  <c r="Z19" i="59" s="1"/>
  <c r="X19" i="59" a="1"/>
  <c r="X19" i="59" s="1"/>
  <c r="AO19" i="59" a="1"/>
  <c r="AO19" i="59" s="1"/>
  <c r="AO16" i="59" s="1"/>
  <c r="AL19" i="59" a="1"/>
  <c r="AM19" i="59" l="1"/>
  <c r="AM16" i="59" s="1"/>
  <c r="AS19" i="59"/>
  <c r="AS16" i="59" s="1"/>
  <c r="AN19" i="59"/>
  <c r="AN16" i="59" s="1"/>
  <c r="AL19" i="59"/>
  <c r="AL16" i="59" s="1"/>
  <c r="AF19" i="59"/>
  <c r="AD19" i="59"/>
  <c r="BC19" i="59" s="1" a="1"/>
  <c r="BC19" i="59" s="1"/>
  <c r="Y19" i="59"/>
  <c r="W19" i="59"/>
  <c r="BA19" i="59" s="1" a="1"/>
  <c r="BA19" i="59" s="1"/>
  <c r="AR16" i="59"/>
  <c r="BH19" i="59" a="1"/>
  <c r="BH19" i="59" s="1"/>
  <c r="BH16" i="59" s="1"/>
  <c r="AQ16" i="59"/>
  <c r="BF19" i="59"/>
  <c r="BF16" i="59" s="1"/>
  <c r="U19" i="59"/>
  <c r="A7" i="63" s="1" a="1"/>
  <c r="BG19" i="59" l="1" a="1"/>
  <c r="BG19" i="59" s="1"/>
  <c r="BE19" i="59" a="1"/>
  <c r="BE19" i="59" s="1"/>
  <c r="BC16" i="59"/>
  <c r="BA16" i="59"/>
  <c r="A7" i="63"/>
  <c r="B6" i="63" s="1" a="1"/>
  <c r="B6" i="63" s="1"/>
  <c r="BB19" i="59" a="1"/>
  <c r="BK19" i="59" s="1" a="1"/>
  <c r="BK19" i="59" s="1"/>
  <c r="BE16" i="59" l="1"/>
  <c r="BG16" i="59"/>
  <c r="BJ19" i="59" a="1"/>
  <c r="BJ19" i="59" s="1"/>
  <c r="BQ19" i="59" a="1"/>
  <c r="BQ19" i="59" s="1"/>
  <c r="BR19" i="59" a="1"/>
  <c r="BR19" i="59" s="1"/>
  <c r="B7" i="63" a="1"/>
  <c r="B7" i="63" s="1"/>
  <c r="BB19" i="59"/>
  <c r="BJ16" i="59" l="1"/>
  <c r="BZ23" i="59" a="1"/>
  <c r="BZ23" i="59" s="1"/>
  <c r="BB16" i="59"/>
  <c r="BV19" i="59" a="1"/>
  <c r="BS19" i="59" a="1"/>
  <c r="BS19" i="59" l="1"/>
  <c r="BS16" i="59" s="1"/>
  <c r="BK16" i="59"/>
  <c r="BZ24" i="59" a="1"/>
  <c r="BZ24" i="59" s="1"/>
  <c r="BV19" i="59"/>
  <c r="BV16" i="59" s="1"/>
  <c r="BT19" i="59" a="1"/>
  <c r="AD16" i="59"/>
  <c r="AE16" i="59"/>
  <c r="X16" i="59"/>
  <c r="Z16" i="59"/>
  <c r="Y16" i="59"/>
  <c r="AG16" i="59"/>
  <c r="AF16" i="59"/>
  <c r="AA16" i="59"/>
  <c r="AI16" i="59"/>
  <c r="AC16" i="59"/>
  <c r="W16" i="59"/>
  <c r="AH16" i="59"/>
  <c r="AJ16" i="59"/>
  <c r="AB16" i="59"/>
  <c r="BZ25" i="59" l="1" a="1"/>
  <c r="BZ25" i="59" s="1"/>
  <c r="L13" i="61" s="1" a="1"/>
  <c r="L13" i="61" s="1"/>
  <c r="BZ20" i="59"/>
  <c r="BT19" i="59"/>
  <c r="BU19" i="59" s="1" a="1"/>
  <c r="BU19" i="59" s="1"/>
  <c r="BT16" i="59" l="1"/>
  <c r="BW19" i="59" a="1"/>
  <c r="BW19" i="59" l="1"/>
  <c r="A1" i="25" a="1"/>
  <c r="A1" i="25" s="1"/>
  <c r="BW16" i="59" l="1"/>
  <c r="BZ19" i="59" a="1"/>
  <c r="BZ19" i="59" s="1"/>
  <c r="BZ21" i="59" s="1"/>
  <c r="G49" i="1" l="1"/>
  <c r="G48" i="1"/>
  <c r="F49" i="1"/>
  <c r="F48" i="1"/>
  <c r="A1" i="1" l="1" a="1"/>
  <c r="A1" i="1" s="1"/>
  <c r="A1" i="4" a="1"/>
  <c r="A1" i="4" s="1"/>
  <c r="V83" i="61" a="1"/>
  <c r="V83" i="61" s="1"/>
  <c r="Z83" i="61" s="1"/>
  <c r="V127" i="61" a="1"/>
  <c r="V127" i="61" s="1"/>
  <c r="Z127" i="61" s="1"/>
  <c r="V95" i="61" a="1"/>
  <c r="V95" i="61" s="1"/>
  <c r="Z95" i="61" s="1"/>
  <c r="U80" i="61" a="1"/>
  <c r="U80" i="61" s="1"/>
  <c r="Y80" i="61" s="1"/>
  <c r="T95" i="61" a="1"/>
  <c r="T95" i="61" s="1"/>
  <c r="X95" i="61" s="1"/>
  <c r="U76" i="61" a="1"/>
  <c r="U76" i="61" s="1"/>
  <c r="Y76" i="61" s="1"/>
  <c r="T70" i="61" a="1"/>
  <c r="T70" i="61" s="1"/>
  <c r="X70" i="61" s="1"/>
  <c r="U85" i="61" a="1"/>
  <c r="U85" i="61" s="1"/>
  <c r="Y85" i="61" s="1"/>
  <c r="U107" i="61" a="1"/>
  <c r="U107" i="61" s="1"/>
  <c r="Y107" i="61" s="1"/>
  <c r="T114" i="61" a="1"/>
  <c r="T114" i="61" s="1"/>
  <c r="X114" i="61" s="1"/>
  <c r="U106" i="61" a="1"/>
  <c r="U106" i="61" s="1"/>
  <c r="Y106" i="61" s="1"/>
  <c r="T74" i="61" a="1"/>
  <c r="T74" i="61" s="1"/>
  <c r="X74" i="61" s="1"/>
  <c r="V123" i="61" a="1"/>
  <c r="V123" i="61" s="1"/>
  <c r="Z123" i="61" s="1"/>
  <c r="T28" i="61" a="1"/>
  <c r="T28" i="61" s="1"/>
  <c r="X28" i="61" s="1"/>
  <c r="T105" i="61" a="1"/>
  <c r="T105" i="61" s="1"/>
  <c r="X105" i="61" s="1"/>
  <c r="U50" i="61" a="1"/>
  <c r="U50" i="61" s="1"/>
  <c r="Y50" i="61" s="1"/>
  <c r="V48" i="61" a="1"/>
  <c r="V48" i="61" s="1"/>
  <c r="Z48" i="61" s="1"/>
  <c r="U36" i="61" a="1"/>
  <c r="U36" i="61" s="1"/>
  <c r="Y36" i="61" s="1"/>
  <c r="V91" i="61" a="1"/>
  <c r="V91" i="61" s="1"/>
  <c r="Z91" i="61" s="1"/>
  <c r="V70" i="61" a="1"/>
  <c r="V70" i="61" s="1"/>
  <c r="Z70" i="61" s="1"/>
  <c r="V67" i="61" a="1"/>
  <c r="V67" i="61" s="1"/>
  <c r="Z67" i="61" s="1"/>
  <c r="V112" i="61" a="1"/>
  <c r="V112" i="61" s="1"/>
  <c r="Z112" i="61" s="1"/>
  <c r="V74" i="61" a="1"/>
  <c r="V74" i="61" s="1"/>
  <c r="Z74" i="61" s="1"/>
  <c r="V36" i="61" a="1"/>
  <c r="V36" i="61" s="1"/>
  <c r="Z36" i="61" s="1"/>
  <c r="T49" i="61" a="1"/>
  <c r="T49" i="61" s="1"/>
  <c r="X49" i="61" s="1"/>
  <c r="U63" i="61" a="1"/>
  <c r="U63" i="61" s="1"/>
  <c r="Y63" i="61" s="1"/>
  <c r="T73" i="61" a="1"/>
  <c r="T73" i="61" s="1"/>
  <c r="X73" i="61" s="1"/>
  <c r="U108" i="61" a="1"/>
  <c r="U108" i="61" s="1"/>
  <c r="Y108" i="61" s="1"/>
  <c r="V113" i="61" a="1"/>
  <c r="V113" i="61" s="1"/>
  <c r="Z113" i="61" s="1"/>
  <c r="U82" i="61" a="1"/>
  <c r="U82" i="61" s="1"/>
  <c r="Y82" i="61" s="1"/>
  <c r="V32" i="61" a="1"/>
  <c r="V32" i="61" s="1"/>
  <c r="Z32" i="61" s="1"/>
  <c r="T90" i="61" a="1"/>
  <c r="T90" i="61" s="1"/>
  <c r="X90" i="61" s="1"/>
  <c r="T14" i="61" a="1"/>
  <c r="T14" i="61" s="1"/>
  <c r="X14" i="61" s="1"/>
  <c r="U39" i="61" a="1"/>
  <c r="U39" i="61" s="1"/>
  <c r="Y39" i="61" s="1"/>
  <c r="T59" i="61" a="1"/>
  <c r="T59" i="61" s="1"/>
  <c r="X59" i="61" s="1"/>
  <c r="T119" i="61" a="1"/>
  <c r="T119" i="61" s="1"/>
  <c r="X119" i="61" s="1"/>
  <c r="U30" i="61" a="1"/>
  <c r="U30" i="61" s="1"/>
  <c r="Y30" i="61" s="1"/>
  <c r="U81" i="61" a="1"/>
  <c r="U81" i="61" s="1"/>
  <c r="Y81" i="61" s="1"/>
  <c r="U60" i="61" a="1"/>
  <c r="U60" i="61" s="1"/>
  <c r="Y60" i="61" s="1"/>
  <c r="T58" i="61" a="1"/>
  <c r="T58" i="61" s="1"/>
  <c r="X58" i="61" s="1"/>
  <c r="V96" i="61" a="1"/>
  <c r="V96" i="61" s="1"/>
  <c r="Z96" i="61" s="1"/>
  <c r="T85" i="61" a="1"/>
  <c r="T85" i="61" s="1"/>
  <c r="X85" i="61" s="1"/>
  <c r="T75" i="61" a="1"/>
  <c r="T75" i="61" s="1"/>
  <c r="X75" i="61" s="1"/>
  <c r="V65" i="61" a="1"/>
  <c r="V65" i="61" s="1"/>
  <c r="Z65" i="61" s="1"/>
  <c r="U29" i="61" a="1"/>
  <c r="U29" i="61" s="1"/>
  <c r="Y29" i="61" s="1"/>
  <c r="U125" i="61" a="1"/>
  <c r="U125" i="61" s="1"/>
  <c r="Y125" i="61" s="1"/>
  <c r="T48" i="61" a="1"/>
  <c r="T48" i="61" s="1"/>
  <c r="X48" i="61" s="1"/>
  <c r="V37" i="61" a="1"/>
  <c r="V37" i="61" s="1"/>
  <c r="Z37" i="61" s="1"/>
  <c r="T110" i="61" a="1"/>
  <c r="T110" i="61" s="1"/>
  <c r="X110" i="61" s="1"/>
  <c r="U117" i="61" a="1"/>
  <c r="U117" i="61" s="1"/>
  <c r="Y117" i="61" s="1"/>
  <c r="U32" i="61" a="1"/>
  <c r="U32" i="61" s="1"/>
  <c r="Y32" i="61" s="1"/>
  <c r="U74" i="61" a="1"/>
  <c r="U74" i="61" s="1"/>
  <c r="Y74" i="61" s="1"/>
  <c r="U71" i="61" a="1"/>
  <c r="U71" i="61" s="1"/>
  <c r="Y71" i="61" s="1"/>
  <c r="U92" i="61" a="1"/>
  <c r="U92" i="61" s="1"/>
  <c r="Y92" i="61" s="1"/>
  <c r="T51" i="61" a="1"/>
  <c r="T51" i="61" s="1"/>
  <c r="X51" i="61" s="1"/>
  <c r="U120" i="61" a="1"/>
  <c r="U120" i="61" s="1"/>
  <c r="Y120" i="61" s="1"/>
  <c r="U90" i="61" a="1"/>
  <c r="U90" i="61" s="1"/>
  <c r="Y90" i="61" s="1"/>
  <c r="T55" i="61" a="1"/>
  <c r="T55" i="61" s="1"/>
  <c r="X55" i="61" s="1"/>
  <c r="U73" i="61" a="1"/>
  <c r="U73" i="61" s="1"/>
  <c r="Y73" i="61" s="1"/>
  <c r="V22" i="61" a="1"/>
  <c r="V22" i="61" s="1"/>
  <c r="Z22" i="61" s="1"/>
  <c r="T65" i="61" a="1"/>
  <c r="T65" i="61" s="1"/>
  <c r="X65" i="61" s="1"/>
  <c r="T86" i="61" a="1"/>
  <c r="T86" i="61" s="1"/>
  <c r="X86" i="61" s="1"/>
  <c r="V78" i="61" a="1"/>
  <c r="V78" i="61" s="1"/>
  <c r="Z78" i="61" s="1"/>
  <c r="T78" i="61" a="1"/>
  <c r="T78" i="61" s="1"/>
  <c r="X78" i="61" s="1"/>
  <c r="T129" i="61" a="1"/>
  <c r="T129" i="61" s="1"/>
  <c r="X129" i="61" s="1"/>
  <c r="U102" i="61" a="1"/>
  <c r="U102" i="61" s="1"/>
  <c r="Y102" i="61" s="1"/>
  <c r="T118" i="61" a="1"/>
  <c r="T118" i="61" s="1"/>
  <c r="X118" i="61" s="1"/>
  <c r="U130" i="61" a="1"/>
  <c r="U130" i="61" s="1"/>
  <c r="Y130" i="61" s="1"/>
  <c r="U79" i="61" a="1"/>
  <c r="U79" i="61" s="1"/>
  <c r="Y79" i="61" s="1"/>
  <c r="V84" i="61" a="1"/>
  <c r="V84" i="61" s="1"/>
  <c r="Z84" i="61" s="1"/>
  <c r="U33" i="61" a="1"/>
  <c r="U33" i="61" s="1"/>
  <c r="Y33" i="61" s="1"/>
  <c r="V125" i="61" a="1"/>
  <c r="V125" i="61" s="1"/>
  <c r="Z125" i="61" s="1"/>
  <c r="U98" i="61" a="1"/>
  <c r="U98" i="61" s="1"/>
  <c r="Y98" i="61" s="1"/>
  <c r="V49" i="61" a="1"/>
  <c r="V49" i="61" s="1"/>
  <c r="Z49" i="61" s="1"/>
  <c r="V77" i="61" a="1"/>
  <c r="V77" i="61" s="1"/>
  <c r="Z77" i="61" s="1"/>
  <c r="V81" i="61" a="1"/>
  <c r="V81" i="61" s="1"/>
  <c r="Z81" i="61" s="1"/>
  <c r="V56" i="61" a="1"/>
  <c r="V56" i="61" s="1"/>
  <c r="Z56" i="61" s="1"/>
  <c r="T25" i="61" a="1"/>
  <c r="T25" i="61" s="1"/>
  <c r="X25" i="61" s="1"/>
  <c r="T91" i="61" a="1"/>
  <c r="T91" i="61" s="1"/>
  <c r="X91" i="61" s="1"/>
  <c r="V43" i="61" a="1"/>
  <c r="V43" i="61" s="1"/>
  <c r="Z43" i="61" s="1"/>
  <c r="T99" i="61" a="1"/>
  <c r="T99" i="61" s="1"/>
  <c r="X99" i="61" s="1"/>
  <c r="V50" i="61" a="1"/>
  <c r="V50" i="61" s="1"/>
  <c r="Z50" i="61" s="1"/>
  <c r="V102" i="61" a="1"/>
  <c r="V102" i="61" s="1"/>
  <c r="Z102" i="61" s="1"/>
  <c r="V27" i="61" a="1"/>
  <c r="V27" i="61" s="1"/>
  <c r="Z27" i="61" s="1"/>
  <c r="V33" i="61" a="1"/>
  <c r="V33" i="61" s="1"/>
  <c r="Z33" i="61" s="1"/>
  <c r="U68" i="61" a="1"/>
  <c r="U68" i="61" s="1"/>
  <c r="Y68" i="61" s="1"/>
  <c r="U97" i="61" a="1"/>
  <c r="U97" i="61" s="1"/>
  <c r="Y97" i="61" s="1"/>
  <c r="U37" i="61" a="1"/>
  <c r="U37" i="61" s="1"/>
  <c r="Y37" i="61" s="1"/>
  <c r="T57" i="61" a="1"/>
  <c r="T57" i="61" s="1"/>
  <c r="X57" i="61" s="1"/>
  <c r="V117" i="61" a="1"/>
  <c r="V117" i="61" s="1"/>
  <c r="Z117" i="61" s="1"/>
  <c r="T116" i="61" a="1"/>
  <c r="T116" i="61" s="1"/>
  <c r="X116" i="61" s="1"/>
  <c r="V34" i="61" a="1"/>
  <c r="V34" i="61" s="1"/>
  <c r="Z34" i="61" s="1"/>
  <c r="T41" i="61" a="1"/>
  <c r="T41" i="61" s="1"/>
  <c r="X41" i="61" s="1"/>
  <c r="T35" i="61" a="1"/>
  <c r="T35" i="61" s="1"/>
  <c r="X35" i="61" s="1"/>
  <c r="U18" i="61" a="1"/>
  <c r="U18" i="61" s="1"/>
  <c r="Y18" i="61" s="1"/>
  <c r="V52" i="61" a="1"/>
  <c r="V52" i="61" s="1"/>
  <c r="Z52" i="61" s="1"/>
  <c r="V110" i="61" a="1"/>
  <c r="V110" i="61" s="1"/>
  <c r="Z110" i="61" s="1"/>
  <c r="U83" i="61" a="1"/>
  <c r="U83" i="61" s="1"/>
  <c r="Y83" i="61" s="1"/>
  <c r="V25" i="61" a="1"/>
  <c r="V25" i="61" s="1"/>
  <c r="Z25" i="61" s="1"/>
  <c r="V31" i="61" a="1"/>
  <c r="V31" i="61" s="1"/>
  <c r="Z31" i="61" s="1"/>
  <c r="U58" i="61" a="1"/>
  <c r="U58" i="61" s="1"/>
  <c r="Y58" i="61" s="1"/>
  <c r="V99" i="61" a="1"/>
  <c r="V99" i="61" s="1"/>
  <c r="Z99" i="61" s="1"/>
  <c r="V119" i="61" a="1"/>
  <c r="V119" i="61" s="1"/>
  <c r="Z119" i="61" s="1"/>
  <c r="T77" i="61" a="1"/>
  <c r="T77" i="61" s="1"/>
  <c r="X77" i="61" s="1"/>
  <c r="V124" i="61" a="1"/>
  <c r="V124" i="61" s="1"/>
  <c r="Z124" i="61" s="1"/>
  <c r="V105" i="61" a="1"/>
  <c r="V105" i="61" s="1"/>
  <c r="Z105" i="61" s="1"/>
  <c r="U22" i="61" a="1"/>
  <c r="U22" i="61" s="1"/>
  <c r="Y22" i="61" s="1"/>
  <c r="U57" i="61" a="1"/>
  <c r="U57" i="61" s="1"/>
  <c r="Y57" i="61" s="1"/>
  <c r="V89" i="61" a="1"/>
  <c r="V89" i="61" s="1"/>
  <c r="Z89" i="61" s="1"/>
  <c r="T30" i="61" a="1"/>
  <c r="T30" i="61" s="1"/>
  <c r="X30" i="61" s="1"/>
  <c r="U94" i="61" a="1"/>
  <c r="U94" i="61" s="1"/>
  <c r="Y94" i="61" s="1"/>
  <c r="V114" i="61" a="1"/>
  <c r="V114" i="61" s="1"/>
  <c r="Z114" i="61" s="1"/>
  <c r="V47" i="61" a="1"/>
  <c r="V47" i="61" s="1"/>
  <c r="Z47" i="61" s="1"/>
  <c r="V87" i="61" a="1"/>
  <c r="V87" i="61" s="1"/>
  <c r="Z87" i="61" s="1"/>
  <c r="T83" i="61" a="1"/>
  <c r="T83" i="61" s="1"/>
  <c r="X83" i="61" s="1"/>
  <c r="V121" i="61" a="1"/>
  <c r="V121" i="61" s="1"/>
  <c r="Z121" i="61" s="1"/>
  <c r="T127" i="61" a="1"/>
  <c r="T127" i="61" s="1"/>
  <c r="X127" i="61" s="1"/>
  <c r="V79" i="61" a="1"/>
  <c r="V79" i="61" s="1"/>
  <c r="Z79" i="61" s="1"/>
  <c r="U72" i="61" a="1"/>
  <c r="U72" i="61" s="1"/>
  <c r="Y72" i="61" s="1"/>
  <c r="U35" i="61" a="1"/>
  <c r="U35" i="61" s="1"/>
  <c r="Y35" i="61" s="1"/>
  <c r="T124" i="61" a="1"/>
  <c r="T124" i="61" s="1"/>
  <c r="X124" i="61" s="1"/>
  <c r="U114" i="61" a="1"/>
  <c r="U114" i="61" s="1"/>
  <c r="Y114" i="61" s="1"/>
  <c r="U45" i="61" a="1"/>
  <c r="U45" i="61" s="1"/>
  <c r="Y45" i="61" s="1"/>
  <c r="U14" i="61" a="1"/>
  <c r="U14" i="61" s="1"/>
  <c r="Y14" i="61" s="1"/>
  <c r="V104" i="61" a="1"/>
  <c r="V104" i="61" s="1"/>
  <c r="Z104" i="61" s="1"/>
  <c r="T102" i="61" a="1"/>
  <c r="T102" i="61" s="1"/>
  <c r="X102" i="61" s="1"/>
  <c r="T62" i="61" a="1"/>
  <c r="T62" i="61" s="1"/>
  <c r="X62" i="61" s="1"/>
  <c r="T107" i="61" a="1"/>
  <c r="T107" i="61" s="1"/>
  <c r="X107" i="61" s="1"/>
  <c r="U93" i="61" a="1"/>
  <c r="U93" i="61" s="1"/>
  <c r="Y93" i="61" s="1"/>
  <c r="T68" i="61" a="1"/>
  <c r="T68" i="61" s="1"/>
  <c r="X68" i="61" s="1"/>
  <c r="T29" i="61" a="1"/>
  <c r="T29" i="61" s="1"/>
  <c r="X29" i="61" s="1"/>
  <c r="V40" i="61" a="1"/>
  <c r="V40" i="61" s="1"/>
  <c r="Z40" i="61" s="1"/>
  <c r="T39" i="61" a="1"/>
  <c r="T39" i="61" s="1"/>
  <c r="X39" i="61" s="1"/>
  <c r="T104" i="61" a="1"/>
  <c r="T104" i="61" s="1"/>
  <c r="X104" i="61" s="1"/>
  <c r="U34" i="61" a="1"/>
  <c r="U34" i="61" s="1"/>
  <c r="Y34" i="61" s="1"/>
  <c r="T66" i="61" a="1"/>
  <c r="T66" i="61" s="1"/>
  <c r="X66" i="61" s="1"/>
  <c r="T45" i="61" a="1"/>
  <c r="T45" i="61" s="1"/>
  <c r="X45" i="61" s="1"/>
  <c r="U95" i="61" a="1"/>
  <c r="U95" i="61" s="1"/>
  <c r="Y95" i="61" s="1"/>
  <c r="U96" i="61" a="1"/>
  <c r="U96" i="61" s="1"/>
  <c r="Y96" i="61" s="1"/>
  <c r="V55" i="61" a="1"/>
  <c r="V55" i="61" s="1"/>
  <c r="Z55" i="61" s="1"/>
  <c r="T122" i="61" a="1"/>
  <c r="T122" i="61" s="1"/>
  <c r="X122" i="61" s="1"/>
  <c r="U86" i="61" a="1"/>
  <c r="U86" i="61" s="1"/>
  <c r="Y86" i="61" s="1"/>
  <c r="V29" i="61" a="1"/>
  <c r="V29" i="61" s="1"/>
  <c r="Z29" i="61" s="1"/>
  <c r="T121" i="61" a="1"/>
  <c r="T121" i="61" s="1"/>
  <c r="X121" i="61" s="1"/>
  <c r="V80" i="61" a="1"/>
  <c r="V80" i="61" s="1"/>
  <c r="Z80" i="61" s="1"/>
  <c r="V44" i="61" a="1"/>
  <c r="V44" i="61" s="1"/>
  <c r="Z44" i="61" s="1"/>
  <c r="V92" i="61" a="1"/>
  <c r="V92" i="61" s="1"/>
  <c r="Z92" i="61" s="1"/>
  <c r="V21" i="61" a="1"/>
  <c r="V21" i="61" s="1"/>
  <c r="Z21" i="61" s="1"/>
  <c r="V26" i="61" a="1"/>
  <c r="V26" i="61" s="1"/>
  <c r="Z26" i="61" s="1"/>
  <c r="T17" i="61" a="1"/>
  <c r="T17" i="61" s="1"/>
  <c r="X17" i="61" s="1"/>
  <c r="T88" i="61" a="1"/>
  <c r="T88" i="61" s="1"/>
  <c r="X88" i="61" s="1"/>
  <c r="T81" i="61" a="1"/>
  <c r="T81" i="61" s="1"/>
  <c r="X81" i="61" s="1"/>
  <c r="V66" i="61" a="1"/>
  <c r="V66" i="61" s="1"/>
  <c r="Z66" i="61" s="1"/>
  <c r="U43" i="61" a="1"/>
  <c r="U43" i="61" s="1"/>
  <c r="Y43" i="61" s="1"/>
  <c r="U46" i="61" a="1"/>
  <c r="U46" i="61" s="1"/>
  <c r="Y46" i="61" s="1"/>
  <c r="U115" i="61" a="1"/>
  <c r="U115" i="61" s="1"/>
  <c r="Y115" i="61" s="1"/>
  <c r="U100" i="61" a="1"/>
  <c r="U100" i="61" s="1"/>
  <c r="Y100" i="61" s="1"/>
  <c r="V30" i="61" a="1"/>
  <c r="V30" i="61" s="1"/>
  <c r="Z30" i="61" s="1"/>
  <c r="V97" i="61" a="1"/>
  <c r="V97" i="61" s="1"/>
  <c r="Z97" i="61" s="1"/>
  <c r="V60" i="61" a="1"/>
  <c r="V60" i="61" s="1"/>
  <c r="Z60" i="61" s="1"/>
  <c r="U41" i="61" a="1"/>
  <c r="U41" i="61" s="1"/>
  <c r="Y41" i="61" s="1"/>
  <c r="U48" i="61" a="1"/>
  <c r="U48" i="61" s="1"/>
  <c r="Y48" i="61" s="1"/>
  <c r="T71" i="61" a="1"/>
  <c r="T71" i="61" s="1"/>
  <c r="X71" i="61" s="1"/>
  <c r="U56" i="61" a="1"/>
  <c r="U56" i="61" s="1"/>
  <c r="Y56" i="61" s="1"/>
  <c r="U122" i="61" a="1"/>
  <c r="U122" i="61" s="1"/>
  <c r="Y122" i="61" s="1"/>
  <c r="U78" i="61" a="1"/>
  <c r="U78" i="61" s="1"/>
  <c r="Y78" i="61" s="1"/>
  <c r="T37" i="61" a="1"/>
  <c r="T37" i="61" s="1"/>
  <c r="X37" i="61" s="1"/>
  <c r="U26" i="61" a="1"/>
  <c r="U26" i="61" s="1"/>
  <c r="Y26" i="61" s="1"/>
  <c r="V16" i="61" a="1"/>
  <c r="V16" i="61" s="1"/>
  <c r="Z16" i="61" s="1"/>
  <c r="V128" i="61" a="1"/>
  <c r="V128" i="61" s="1"/>
  <c r="Z128" i="61" s="1"/>
  <c r="U47" i="61" a="1"/>
  <c r="U47" i="61" s="1"/>
  <c r="Y47" i="61" s="1"/>
  <c r="T126" i="61" a="1"/>
  <c r="T126" i="61" s="1"/>
  <c r="X126" i="61" s="1"/>
  <c r="U27" i="61" a="1"/>
  <c r="U27" i="61" s="1"/>
  <c r="Y27" i="61" s="1"/>
  <c r="T80" i="61" a="1"/>
  <c r="T80" i="61" s="1"/>
  <c r="X80" i="61" s="1"/>
  <c r="T43" i="61" a="1"/>
  <c r="T43" i="61" s="1"/>
  <c r="X43" i="61" s="1"/>
  <c r="V88" i="61" a="1"/>
  <c r="V88" i="61" s="1"/>
  <c r="Z88" i="61" s="1"/>
  <c r="T27" i="61" a="1"/>
  <c r="T27" i="61" s="1"/>
  <c r="X27" i="61" s="1"/>
  <c r="U61" i="61" a="1"/>
  <c r="U61" i="61" s="1"/>
  <c r="Y61" i="61" s="1"/>
  <c r="U25" i="61" a="1"/>
  <c r="U25" i="61" s="1"/>
  <c r="Y25" i="61" s="1"/>
  <c r="T21" i="61" a="1"/>
  <c r="T21" i="61" s="1"/>
  <c r="X21" i="61" s="1"/>
  <c r="T15" i="61" a="1"/>
  <c r="T15" i="61" s="1"/>
  <c r="X15" i="61" s="1"/>
  <c r="V101" i="61" a="1"/>
  <c r="V101" i="61" s="1"/>
  <c r="Z101" i="61" s="1"/>
  <c r="U110" i="61" a="1"/>
  <c r="U110" i="61" s="1"/>
  <c r="Y110" i="61" s="1"/>
  <c r="U113" i="61" a="1"/>
  <c r="U113" i="61" s="1"/>
  <c r="Y113" i="61" s="1"/>
  <c r="V18" i="61" a="1"/>
  <c r="V18" i="61" s="1"/>
  <c r="Z18" i="61" s="1"/>
  <c r="V72" i="61" a="1"/>
  <c r="V72" i="61" s="1"/>
  <c r="Z72" i="61" s="1"/>
  <c r="V59" i="61" a="1"/>
  <c r="V59" i="61" s="1"/>
  <c r="Z59" i="61" s="1"/>
  <c r="T16" i="61" a="1"/>
  <c r="T16" i="61" s="1"/>
  <c r="X16" i="61" s="1"/>
  <c r="U77" i="61" a="1"/>
  <c r="U77" i="61" s="1"/>
  <c r="Y77" i="61" s="1"/>
  <c r="V71" i="61" a="1"/>
  <c r="V71" i="61" s="1"/>
  <c r="Z71" i="61" s="1"/>
  <c r="T47" i="61" a="1"/>
  <c r="T47" i="61" s="1"/>
  <c r="X47" i="61" s="1"/>
  <c r="V122" i="61" a="1"/>
  <c r="V122" i="61" s="1"/>
  <c r="Z122" i="61" s="1"/>
  <c r="V120" i="61" a="1"/>
  <c r="V120" i="61" s="1"/>
  <c r="Z120" i="61" s="1"/>
  <c r="V42" i="61" a="1"/>
  <c r="V42" i="61" s="1"/>
  <c r="Z42" i="61" s="1"/>
  <c r="V62" i="61" a="1"/>
  <c r="V62" i="61" s="1"/>
  <c r="Z62" i="61" s="1"/>
  <c r="V73" i="61" a="1"/>
  <c r="V73" i="61" s="1"/>
  <c r="Z73" i="61" s="1"/>
  <c r="U84" i="61" a="1"/>
  <c r="U84" i="61" s="1"/>
  <c r="Y84" i="61" s="1"/>
  <c r="U103" i="61" a="1"/>
  <c r="U103" i="61" s="1"/>
  <c r="Y103" i="61" s="1"/>
  <c r="V38" i="61" a="1"/>
  <c r="V38" i="61" s="1"/>
  <c r="Z38" i="61" s="1"/>
  <c r="U67" i="61" a="1"/>
  <c r="U67" i="61" s="1"/>
  <c r="Y67" i="61" s="1"/>
  <c r="T61" i="61" a="1"/>
  <c r="T61" i="61" s="1"/>
  <c r="X61" i="61" s="1"/>
  <c r="T76" i="61" a="1"/>
  <c r="T76" i="61" s="1"/>
  <c r="X76" i="61" s="1"/>
  <c r="T108" i="61" a="1"/>
  <c r="T108" i="61" s="1"/>
  <c r="X108" i="61" s="1"/>
  <c r="T84" i="61" a="1"/>
  <c r="T84" i="61" s="1"/>
  <c r="X84" i="61" s="1"/>
  <c r="T26" i="61" a="1"/>
  <c r="T26" i="61" s="1"/>
  <c r="X26" i="61" s="1"/>
  <c r="T38" i="61" a="1"/>
  <c r="T38" i="61" s="1"/>
  <c r="X38" i="61" s="1"/>
  <c r="T130" i="61" a="1"/>
  <c r="T130" i="61" s="1"/>
  <c r="X130" i="61" s="1"/>
  <c r="V14" i="61" a="1"/>
  <c r="V14" i="61" s="1"/>
  <c r="Z14" i="61" s="1"/>
  <c r="V58" i="61" a="1"/>
  <c r="V58" i="61" s="1"/>
  <c r="Z58" i="61" s="1"/>
  <c r="V94" i="61" a="1"/>
  <c r="V94" i="61" s="1"/>
  <c r="Z94" i="61" s="1"/>
  <c r="V19" i="61" a="1"/>
  <c r="V19" i="61" s="1"/>
  <c r="Z19" i="61" s="1"/>
  <c r="U21" i="61" a="1"/>
  <c r="U21" i="61" s="1"/>
  <c r="Y21" i="61" s="1"/>
  <c r="V57" i="61" a="1"/>
  <c r="V57" i="61" s="1"/>
  <c r="Z57" i="61" s="1"/>
  <c r="U23" i="61" a="1"/>
  <c r="U23" i="61" s="1"/>
  <c r="Y23" i="61" s="1"/>
  <c r="V54" i="61" a="1"/>
  <c r="V54" i="61" s="1"/>
  <c r="Z54" i="61" s="1"/>
  <c r="U70" i="61" a="1"/>
  <c r="U70" i="61" s="1"/>
  <c r="Y70" i="61" s="1"/>
  <c r="T23" i="61" a="1"/>
  <c r="T23" i="61" s="1"/>
  <c r="X23" i="61" s="1"/>
  <c r="V63" i="61" a="1"/>
  <c r="V63" i="61" s="1"/>
  <c r="Z63" i="61" s="1"/>
  <c r="V69" i="61" a="1"/>
  <c r="V69" i="61" s="1"/>
  <c r="Z69" i="61" s="1"/>
  <c r="V41" i="61" a="1"/>
  <c r="V41" i="61" s="1"/>
  <c r="Z41" i="61" s="1"/>
  <c r="T103" i="61" a="1"/>
  <c r="T103" i="61" s="1"/>
  <c r="X103" i="61" s="1"/>
  <c r="U20" i="61" a="1"/>
  <c r="U20" i="61" s="1"/>
  <c r="Y20" i="61" s="1"/>
  <c r="U44" i="61" a="1"/>
  <c r="U44" i="61" s="1"/>
  <c r="Y44" i="61" s="1"/>
  <c r="V51" i="61" a="1"/>
  <c r="V51" i="61" s="1"/>
  <c r="Z51" i="61" s="1"/>
  <c r="U24" i="61" a="1"/>
  <c r="U24" i="61" s="1"/>
  <c r="Y24" i="61" s="1"/>
  <c r="U51" i="61" a="1"/>
  <c r="U51" i="61" s="1"/>
  <c r="Y51" i="61" s="1"/>
  <c r="U124" i="61" a="1"/>
  <c r="U124" i="61" s="1"/>
  <c r="Y124" i="61" s="1"/>
  <c r="T67" i="61" a="1"/>
  <c r="T67" i="61" s="1"/>
  <c r="X67" i="61" s="1"/>
  <c r="U55" i="61" a="1"/>
  <c r="U55" i="61" s="1"/>
  <c r="Y55" i="61" s="1"/>
  <c r="U54" i="61" a="1"/>
  <c r="U54" i="61" s="1"/>
  <c r="Y54" i="61" s="1"/>
  <c r="U105" i="61" a="1"/>
  <c r="U105" i="61" s="1"/>
  <c r="Y105" i="61" s="1"/>
  <c r="U87" i="61" a="1"/>
  <c r="U87" i="61" s="1"/>
  <c r="Y87" i="61" s="1"/>
  <c r="T100" i="61" a="1"/>
  <c r="T100" i="61" s="1"/>
  <c r="X100" i="61" s="1"/>
  <c r="T89" i="61" a="1"/>
  <c r="T89" i="61" s="1"/>
  <c r="X89" i="61" s="1"/>
  <c r="V118" i="61" a="1"/>
  <c r="V118" i="61" s="1"/>
  <c r="Z118" i="61" s="1"/>
  <c r="U31" i="61" a="1"/>
  <c r="U31" i="61" s="1"/>
  <c r="Y31" i="61" s="1"/>
  <c r="V76" i="61" a="1"/>
  <c r="V76" i="61" s="1"/>
  <c r="Z76" i="61" s="1"/>
  <c r="V90" i="61" a="1"/>
  <c r="V90" i="61" s="1"/>
  <c r="Z90" i="61" s="1"/>
  <c r="U16" i="61" a="1"/>
  <c r="U16" i="61" s="1"/>
  <c r="Y16" i="61" s="1"/>
  <c r="T64" i="61" a="1"/>
  <c r="T64" i="61" s="1"/>
  <c r="X64" i="61" s="1"/>
  <c r="U127" i="61" a="1"/>
  <c r="U127" i="61" s="1"/>
  <c r="Y127" i="61" s="1"/>
  <c r="U59" i="61" a="1"/>
  <c r="U59" i="61" s="1"/>
  <c r="Y59" i="61" s="1"/>
  <c r="V85" i="61" a="1"/>
  <c r="V85" i="61" s="1"/>
  <c r="Z85" i="61" s="1"/>
  <c r="T101" i="61" a="1"/>
  <c r="T101" i="61" s="1"/>
  <c r="X101" i="61" s="1"/>
  <c r="U104" i="61" a="1"/>
  <c r="U104" i="61" s="1"/>
  <c r="Y104" i="61" s="1"/>
  <c r="T117" i="61" a="1"/>
  <c r="T117" i="61" s="1"/>
  <c r="X117" i="61" s="1"/>
  <c r="U119" i="61" a="1"/>
  <c r="U119" i="61" s="1"/>
  <c r="Y119" i="61" s="1"/>
  <c r="U49" i="61" a="1"/>
  <c r="U49" i="61" s="1"/>
  <c r="Y49" i="61" s="1"/>
  <c r="T115" i="61" a="1"/>
  <c r="T115" i="61" s="1"/>
  <c r="X115" i="61" s="1"/>
  <c r="V130" i="61" a="1"/>
  <c r="V130" i="61" s="1"/>
  <c r="Z130" i="61" s="1"/>
  <c r="U65" i="61" a="1"/>
  <c r="U65" i="61" s="1"/>
  <c r="Y65" i="61" s="1"/>
  <c r="V86" i="61" a="1"/>
  <c r="V86" i="61" s="1"/>
  <c r="Z86" i="61" s="1"/>
  <c r="T125" i="61" a="1"/>
  <c r="T125" i="61" s="1"/>
  <c r="X125" i="61" s="1"/>
  <c r="V68" i="61" a="1"/>
  <c r="V68" i="61" s="1"/>
  <c r="Z68" i="61" s="1"/>
  <c r="U111" i="61" a="1"/>
  <c r="U111" i="61" s="1"/>
  <c r="Y111" i="61" s="1"/>
  <c r="V115" i="61" a="1"/>
  <c r="V115" i="61" s="1"/>
  <c r="Z115" i="61" s="1"/>
  <c r="U88" i="61" a="1"/>
  <c r="U88" i="61" s="1"/>
  <c r="Y88" i="61" s="1"/>
  <c r="V61" i="61" a="1"/>
  <c r="V61" i="61" s="1"/>
  <c r="Z61" i="61" s="1"/>
  <c r="V108" i="61" a="1"/>
  <c r="V108" i="61" s="1"/>
  <c r="Z108" i="61" s="1"/>
  <c r="T111" i="61" a="1"/>
  <c r="T111" i="61" s="1"/>
  <c r="X111" i="61" s="1"/>
  <c r="V109" i="61" a="1"/>
  <c r="V109" i="61" s="1"/>
  <c r="Z109" i="61" s="1"/>
  <c r="U99" i="61" a="1"/>
  <c r="U99" i="61" s="1"/>
  <c r="Y99" i="61" s="1"/>
  <c r="V53" i="61" a="1"/>
  <c r="V53" i="61" s="1"/>
  <c r="Z53" i="61" s="1"/>
  <c r="V28" i="61" a="1"/>
  <c r="V28" i="61" s="1"/>
  <c r="Z28" i="61" s="1"/>
  <c r="T46" i="61" a="1"/>
  <c r="T46" i="61" s="1"/>
  <c r="X46" i="61" s="1"/>
  <c r="V129" i="61" a="1"/>
  <c r="V129" i="61" s="1"/>
  <c r="Z129" i="61" s="1"/>
  <c r="V126" i="61" a="1"/>
  <c r="V126" i="61" s="1"/>
  <c r="Z126" i="61" s="1"/>
  <c r="U128" i="61" a="1"/>
  <c r="U128" i="61" s="1"/>
  <c r="Y128" i="61" s="1"/>
  <c r="U109" i="61" a="1"/>
  <c r="U109" i="61" s="1"/>
  <c r="Y109" i="61" s="1"/>
  <c r="U91" i="61" a="1"/>
  <c r="U91" i="61" s="1"/>
  <c r="Y91" i="61" s="1"/>
  <c r="U101" i="61" a="1"/>
  <c r="U101" i="61" s="1"/>
  <c r="Y101" i="61" s="1"/>
  <c r="U62" i="61" a="1"/>
  <c r="U62" i="61" s="1"/>
  <c r="Y62" i="61" s="1"/>
  <c r="T87" i="61" a="1"/>
  <c r="T87" i="61" s="1"/>
  <c r="X87" i="61" s="1"/>
  <c r="T32" i="61" a="1"/>
  <c r="T32" i="61" s="1"/>
  <c r="X32" i="61" s="1"/>
  <c r="V20" i="61" a="1"/>
  <c r="V20" i="61" s="1"/>
  <c r="Z20" i="61" s="1"/>
  <c r="T50" i="61" a="1"/>
  <c r="T50" i="61" s="1"/>
  <c r="X50" i="61" s="1"/>
  <c r="T56" i="61" a="1"/>
  <c r="T56" i="61" s="1"/>
  <c r="X56" i="61" s="1"/>
  <c r="T60" i="61" a="1"/>
  <c r="T60" i="61" s="1"/>
  <c r="X60" i="61" s="1"/>
  <c r="T94" i="61" a="1"/>
  <c r="T94" i="61" s="1"/>
  <c r="X94" i="61" s="1"/>
  <c r="U123" i="61" a="1"/>
  <c r="U123" i="61" s="1"/>
  <c r="Y123" i="61" s="1"/>
  <c r="T40" i="61" a="1"/>
  <c r="T40" i="61" s="1"/>
  <c r="X40" i="61" s="1"/>
  <c r="V35" i="61" a="1"/>
  <c r="V35" i="61" s="1"/>
  <c r="Z35" i="61" s="1"/>
  <c r="T63" i="61" a="1"/>
  <c r="T63" i="61" s="1"/>
  <c r="X63" i="61" s="1"/>
  <c r="T19" i="61" a="1"/>
  <c r="T19" i="61" s="1"/>
  <c r="X19" i="61" s="1"/>
  <c r="U121" i="61" a="1"/>
  <c r="U121" i="61" s="1"/>
  <c r="Y121" i="61" s="1"/>
  <c r="V98" i="61" a="1"/>
  <c r="V98" i="61" s="1"/>
  <c r="Z98" i="61" s="1"/>
  <c r="T22" i="61" a="1"/>
  <c r="T22" i="61" s="1"/>
  <c r="X22" i="61" s="1"/>
  <c r="V82" i="61" a="1"/>
  <c r="V82" i="61" s="1"/>
  <c r="Z82" i="61" s="1"/>
  <c r="T34" i="61" a="1"/>
  <c r="T34" i="61" s="1"/>
  <c r="X34" i="61" s="1"/>
  <c r="U38" i="61" a="1"/>
  <c r="U38" i="61" s="1"/>
  <c r="Y38" i="61" s="1"/>
  <c r="T42" i="61" a="1"/>
  <c r="T42" i="61" s="1"/>
  <c r="X42" i="61" s="1"/>
  <c r="V111" i="61" a="1"/>
  <c r="V111" i="61" s="1"/>
  <c r="Z111" i="61" s="1"/>
  <c r="V106" i="61" a="1"/>
  <c r="V106" i="61" s="1"/>
  <c r="Z106" i="61" s="1"/>
  <c r="U66" i="61" a="1"/>
  <c r="U66" i="61" s="1"/>
  <c r="Y66" i="61" s="1"/>
  <c r="T98" i="61" a="1"/>
  <c r="T98" i="61" s="1"/>
  <c r="X98" i="61" s="1"/>
  <c r="T113" i="61" a="1"/>
  <c r="T113" i="61" s="1"/>
  <c r="X113" i="61" s="1"/>
  <c r="V45" i="61" a="1"/>
  <c r="V45" i="61" s="1"/>
  <c r="Z45" i="61" s="1"/>
  <c r="T24" i="61" a="1"/>
  <c r="T24" i="61" s="1"/>
  <c r="X24" i="61" s="1"/>
  <c r="V75" i="61" a="1"/>
  <c r="V75" i="61" s="1"/>
  <c r="Z75" i="61" s="1"/>
  <c r="U112" i="61" a="1"/>
  <c r="U112" i="61" s="1"/>
  <c r="Y112" i="61" s="1"/>
  <c r="T82" i="61" a="1"/>
  <c r="T82" i="61" s="1"/>
  <c r="X82" i="61" s="1"/>
  <c r="T93" i="61" a="1"/>
  <c r="T93" i="61" s="1"/>
  <c r="X93" i="61" s="1"/>
  <c r="T31" i="61" a="1"/>
  <c r="T31" i="61" s="1"/>
  <c r="X31" i="61" s="1"/>
  <c r="U129" i="61" a="1"/>
  <c r="U129" i="61" s="1"/>
  <c r="Y129" i="61" s="1"/>
  <c r="V17" i="61" a="1"/>
  <c r="V17" i="61" s="1"/>
  <c r="Z17" i="61" s="1"/>
  <c r="T120" i="61" a="1"/>
  <c r="T120" i="61" s="1"/>
  <c r="X120" i="61" s="1"/>
  <c r="T123" i="61" a="1"/>
  <c r="T123" i="61" s="1"/>
  <c r="X123" i="61" s="1"/>
  <c r="U40" i="61" a="1"/>
  <c r="U40" i="61" s="1"/>
  <c r="Y40" i="61" s="1"/>
  <c r="T44" i="61" a="1"/>
  <c r="T44" i="61" s="1"/>
  <c r="X44" i="61" s="1"/>
  <c r="V100" i="61" a="1"/>
  <c r="V100" i="61" s="1"/>
  <c r="Z100" i="61" s="1"/>
  <c r="V24" i="61" a="1"/>
  <c r="V24" i="61" s="1"/>
  <c r="Z24" i="61" s="1"/>
  <c r="V39" i="61" a="1"/>
  <c r="V39" i="61" s="1"/>
  <c r="Z39" i="61" s="1"/>
  <c r="U89" i="61" a="1"/>
  <c r="U89" i="61" s="1"/>
  <c r="Y89" i="61" s="1"/>
  <c r="U53" i="61" a="1"/>
  <c r="U53" i="61" s="1"/>
  <c r="Y53" i="61" s="1"/>
  <c r="V23" i="61" a="1"/>
  <c r="V23" i="61" s="1"/>
  <c r="Z23" i="61" s="1"/>
  <c r="U69" i="61" a="1"/>
  <c r="U69" i="61" s="1"/>
  <c r="Y69" i="61" s="1"/>
  <c r="T106" i="61" a="1"/>
  <c r="T106" i="61" s="1"/>
  <c r="X106" i="61" s="1"/>
  <c r="V103" i="61" a="1"/>
  <c r="V103" i="61" s="1"/>
  <c r="Z103" i="61" s="1"/>
  <c r="T20" i="61" a="1"/>
  <c r="T20" i="61" s="1"/>
  <c r="X20" i="61" s="1"/>
  <c r="T72" i="61" a="1"/>
  <c r="T72" i="61" s="1"/>
  <c r="X72" i="61" s="1"/>
  <c r="V15" i="61" a="1"/>
  <c r="V15" i="61" s="1"/>
  <c r="Z15" i="61" s="1"/>
  <c r="V93" i="61" a="1"/>
  <c r="V93" i="61" s="1"/>
  <c r="Z93" i="61" s="1"/>
  <c r="V46" i="61" a="1"/>
  <c r="V46" i="61" s="1"/>
  <c r="Z46" i="61" s="1"/>
  <c r="V64" i="61" a="1"/>
  <c r="V64" i="61" s="1"/>
  <c r="Z64" i="61" s="1"/>
  <c r="T128" i="61" a="1"/>
  <c r="T128" i="61" s="1"/>
  <c r="X128" i="61" s="1"/>
  <c r="T69" i="61" a="1"/>
  <c r="T69" i="61" s="1"/>
  <c r="X69" i="61" s="1"/>
  <c r="T79" i="61" a="1"/>
  <c r="T79" i="61" s="1"/>
  <c r="X79" i="61" s="1"/>
  <c r="T97" i="61" a="1"/>
  <c r="T97" i="61" s="1"/>
  <c r="X97" i="61" s="1"/>
  <c r="T33" i="61" a="1"/>
  <c r="T33" i="61" s="1"/>
  <c r="X33" i="61" s="1"/>
  <c r="U17" i="61" a="1"/>
  <c r="U17" i="61" s="1"/>
  <c r="Y17" i="61" s="1"/>
  <c r="U42" i="61" a="1"/>
  <c r="U42" i="61" s="1"/>
  <c r="Y42" i="61" s="1"/>
  <c r="V107" i="61" a="1"/>
  <c r="V107" i="61" s="1"/>
  <c r="Z107" i="61" s="1"/>
  <c r="U19" i="61" a="1"/>
  <c r="U19" i="61" s="1"/>
  <c r="Y19" i="61" s="1"/>
  <c r="T92" i="61" a="1"/>
  <c r="T92" i="61" s="1"/>
  <c r="X92" i="61" s="1"/>
  <c r="T109" i="61" a="1"/>
  <c r="T109" i="61" s="1"/>
  <c r="X109" i="61" s="1"/>
  <c r="T54" i="61" a="1"/>
  <c r="T54" i="61" s="1"/>
  <c r="X54" i="61" s="1"/>
  <c r="T18" i="61" a="1"/>
  <c r="T18" i="61" s="1"/>
  <c r="X18" i="61" s="1"/>
  <c r="U116" i="61" a="1"/>
  <c r="U116" i="61" s="1"/>
  <c r="Y116" i="61" s="1"/>
  <c r="U64" i="61" a="1"/>
  <c r="U64" i="61" s="1"/>
  <c r="Y64" i="61" s="1"/>
  <c r="T112" i="61" a="1"/>
  <c r="T112" i="61" s="1"/>
  <c r="X112" i="61" s="1"/>
  <c r="T53" i="61" a="1"/>
  <c r="T53" i="61" s="1"/>
  <c r="X53" i="61" s="1"/>
  <c r="V116" i="61" a="1"/>
  <c r="V116" i="61" s="1"/>
  <c r="Z116" i="61" s="1"/>
  <c r="T36" i="61" a="1"/>
  <c r="T36" i="61" s="1"/>
  <c r="X36" i="61" s="1"/>
  <c r="U52" i="61" a="1"/>
  <c r="U52" i="61" s="1"/>
  <c r="Y52" i="61" s="1"/>
  <c r="U28" i="61" a="1"/>
  <c r="U28" i="61" s="1"/>
  <c r="Y28" i="61" s="1"/>
  <c r="U118" i="61" a="1"/>
  <c r="U118" i="61" s="1"/>
  <c r="Y118" i="61" s="1"/>
  <c r="U126" i="61" a="1"/>
  <c r="U126" i="61" s="1"/>
  <c r="Y126" i="61" s="1"/>
  <c r="U75" i="61" a="1"/>
  <c r="U75" i="61" s="1"/>
  <c r="Y75" i="61" s="1"/>
  <c r="U15" i="61" a="1"/>
  <c r="U15" i="61" s="1"/>
  <c r="Y15" i="61" s="1"/>
  <c r="T96" i="61" a="1"/>
  <c r="T96" i="61" s="1"/>
  <c r="X96" i="61" s="1"/>
  <c r="T52" i="61" a="1"/>
  <c r="T52" i="61" s="1"/>
  <c r="X52" i="6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<sst xmlns="http://schemas.openxmlformats.org/spreadsheetml/2006/main" count="1396" uniqueCount="521">
  <si>
    <t>level_1</t>
  </si>
  <si>
    <t>lob_type</t>
  </si>
  <si>
    <t>lob</t>
  </si>
  <si>
    <t>gross_p</t>
  </si>
  <si>
    <t>gross_p_last</t>
  </si>
  <si>
    <t>gross_p_last_24</t>
  </si>
  <si>
    <t>gross_fp_existing</t>
  </si>
  <si>
    <t>gross_fp_future</t>
  </si>
  <si>
    <t>gross_claim</t>
  </si>
  <si>
    <t>gross_other</t>
  </si>
  <si>
    <t>net_p</t>
  </si>
  <si>
    <t>net_p_last</t>
  </si>
  <si>
    <t>net_p_last_24</t>
  </si>
  <si>
    <t>net_fp_existing</t>
  </si>
  <si>
    <t>net_fp_future</t>
  </si>
  <si>
    <t>net_claim</t>
  </si>
  <si>
    <t>net_other</t>
  </si>
  <si>
    <t>include_factor_cat</t>
  </si>
  <si>
    <t>reinsurance_id</t>
  </si>
  <si>
    <t>ri_structure</t>
  </si>
  <si>
    <t>D</t>
  </si>
  <si>
    <t>1a</t>
  </si>
  <si>
    <t>Y</t>
  </si>
  <si>
    <t>N</t>
  </si>
  <si>
    <t>prop_pers</t>
  </si>
  <si>
    <t>motor</t>
  </si>
  <si>
    <t>prop</t>
  </si>
  <si>
    <t>non_prop_1</t>
  </si>
  <si>
    <t>xol</t>
  </si>
  <si>
    <t>non_prop_2</t>
  </si>
  <si>
    <t>non_prop_3</t>
  </si>
  <si>
    <t>non_prop_4</t>
  </si>
  <si>
    <t>non_prop_5</t>
  </si>
  <si>
    <t>non_prop_6</t>
  </si>
  <si>
    <t>prop_other</t>
  </si>
  <si>
    <t>prop_comm</t>
  </si>
  <si>
    <t>counterparty_id</t>
  </si>
  <si>
    <t>counterparty_share</t>
  </si>
  <si>
    <t>1b</t>
  </si>
  <si>
    <t>2a</t>
  </si>
  <si>
    <t>2b</t>
  </si>
  <si>
    <t>3i</t>
  </si>
  <si>
    <t>3ii</t>
  </si>
  <si>
    <t>3iii</t>
  </si>
  <si>
    <t>4i</t>
  </si>
  <si>
    <t>4ii</t>
  </si>
  <si>
    <t>5i</t>
  </si>
  <si>
    <t>5ii</t>
  </si>
  <si>
    <t>6i</t>
  </si>
  <si>
    <t>6ii</t>
  </si>
  <si>
    <t>7i</t>
  </si>
  <si>
    <t>7ii</t>
  </si>
  <si>
    <t>8i</t>
  </si>
  <si>
    <t>8ii</t>
  </si>
  <si>
    <t>10i</t>
  </si>
  <si>
    <t>10ii</t>
  </si>
  <si>
    <t>10iii</t>
  </si>
  <si>
    <t>10iv</t>
  </si>
  <si>
    <t>10v</t>
  </si>
  <si>
    <t>10vi</t>
  </si>
  <si>
    <t>10vii</t>
  </si>
  <si>
    <t>16i</t>
  </si>
  <si>
    <t>16ii</t>
  </si>
  <si>
    <t>16iii</t>
  </si>
  <si>
    <t>17i</t>
  </si>
  <si>
    <t>17ii</t>
  </si>
  <si>
    <t>17iii</t>
  </si>
  <si>
    <t>17iv</t>
  </si>
  <si>
    <t>18b</t>
  </si>
  <si>
    <t>18c</t>
  </si>
  <si>
    <t>prem</t>
  </si>
  <si>
    <t>res</t>
  </si>
  <si>
    <t>P</t>
  </si>
  <si>
    <t>9</t>
  </si>
  <si>
    <t>11</t>
  </si>
  <si>
    <t>12</t>
  </si>
  <si>
    <t>13</t>
  </si>
  <si>
    <t>14</t>
  </si>
  <si>
    <t>15</t>
  </si>
  <si>
    <t>NP</t>
  </si>
  <si>
    <t>O</t>
  </si>
  <si>
    <t>Premium and Reserve Risk</t>
  </si>
  <si>
    <t>factor</t>
  </si>
  <si>
    <t>1a;1b;2a;2b;3ii;3iii;4ii;8i</t>
  </si>
  <si>
    <t>D;P;FP</t>
  </si>
  <si>
    <t>1a;1b;2a;2b;3ii;3iii</t>
  </si>
  <si>
    <t>5i;6i;7i</t>
  </si>
  <si>
    <t>4i;5ii;6ii;7ii;8ii;10iii;10vii</t>
  </si>
  <si>
    <t>11;12;13</t>
  </si>
  <si>
    <t>18b;18e</t>
  </si>
  <si>
    <t>NP:FNP</t>
  </si>
  <si>
    <t>18c;18f</t>
  </si>
  <si>
    <t>O;FO</t>
  </si>
  <si>
    <t>P;FP</t>
  </si>
  <si>
    <t>NP;FNP</t>
  </si>
  <si>
    <t>peril</t>
  </si>
  <si>
    <t>level_2</t>
  </si>
  <si>
    <t>cqs</t>
  </si>
  <si>
    <t>duration</t>
  </si>
  <si>
    <t>down_shock</t>
  </si>
  <si>
    <t>up_shock</t>
  </si>
  <si>
    <t>1a;1b;2a;2b;3i;3ii;3iii;4i;4ii;5i;5ii;6i;6ii;7i;7ii;8i;8ii;15;16i;16ii;16iii;17i;17ii;17iii;17iv;18b;18c</t>
  </si>
  <si>
    <t>np_cctcg</t>
  </si>
  <si>
    <t>np_property</t>
  </si>
  <si>
    <t>f_non_prop_accident_health</t>
  </si>
  <si>
    <t>f_storm</t>
  </si>
  <si>
    <t>f_flood</t>
  </si>
  <si>
    <t>f_earthquake</t>
  </si>
  <si>
    <t>f_hail</t>
  </si>
  <si>
    <t>f_major_fire_explosion</t>
  </si>
  <si>
    <t>f_marine_aviation_transit</t>
  </si>
  <si>
    <t>f_prof_liability</t>
  </si>
  <si>
    <t>f_public_laibility</t>
  </si>
  <si>
    <t>f_employer_liability</t>
  </si>
  <si>
    <t>f_officer_liability</t>
  </si>
  <si>
    <t>f_product_liability</t>
  </si>
  <si>
    <t>f_other_liability</t>
  </si>
  <si>
    <t>f_credit_guarantee</t>
  </si>
  <si>
    <t>f_miscellaneous</t>
  </si>
  <si>
    <t>f_non_prop_other</t>
  </si>
  <si>
    <t>f_other_risk_mitigation</t>
  </si>
  <si>
    <t>f_accident_health</t>
  </si>
  <si>
    <t>Function Name</t>
  </si>
  <si>
    <t>Category</t>
  </si>
  <si>
    <t>Argument 1</t>
  </si>
  <si>
    <t>Argument 2</t>
  </si>
  <si>
    <t>Argument 3</t>
  </si>
  <si>
    <t>Argument 4</t>
  </si>
  <si>
    <t>Argument 5</t>
  </si>
  <si>
    <t>Argument 6</t>
  </si>
  <si>
    <t>Argument 7</t>
  </si>
  <si>
    <t>Description</t>
  </si>
  <si>
    <t>PremRes</t>
  </si>
  <si>
    <t>SAM Calculations</t>
  </si>
  <si>
    <t>The premium and reserve risk data.</t>
  </si>
  <si>
    <t>The counterparty data, detailing the shares held by each reinsurer.</t>
  </si>
  <si>
    <t>Optional, the number of levels to include in the calculation.</t>
  </si>
  <si>
    <t>Factor Based Charges</t>
  </si>
  <si>
    <t>Premium and Reserve Risk Factors</t>
  </si>
  <si>
    <t>Interest Rate Curves Shocks</t>
  </si>
  <si>
    <t>Spread Risk Charges</t>
  </si>
  <si>
    <t>Index</t>
  </si>
  <si>
    <t>Earthquake Charges</t>
  </si>
  <si>
    <t>RES</t>
  </si>
  <si>
    <t>CCI</t>
  </si>
  <si>
    <t>Contents</t>
  </si>
  <si>
    <t>ENG</t>
  </si>
  <si>
    <t>Motor</t>
  </si>
  <si>
    <t>Correlation Matrix</t>
  </si>
  <si>
    <t>Cover</t>
  </si>
  <si>
    <t>Charge</t>
  </si>
  <si>
    <t>Residential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</si>
  <si>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</si>
  <si>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</si>
  <si>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</si>
  <si>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</si>
  <si>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</si>
  <si>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</si>
  <si>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</si>
  <si>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</si>
  <si>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</si>
  <si>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</si>
  <si>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</si>
  <si>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</si>
  <si>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</si>
  <si>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</si>
  <si>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</si>
  <si>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</si>
  <si>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</si>
  <si>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</si>
  <si>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</si>
  <si>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Commercial</t>
  </si>
  <si>
    <t>Engineering</t>
  </si>
  <si>
    <t>Charges</t>
  </si>
  <si>
    <t>URN</t>
  </si>
  <si>
    <t>Hail Charges</t>
  </si>
  <si>
    <t>RCI</t>
  </si>
  <si>
    <t>Zone Mapping</t>
  </si>
  <si>
    <t>Post Code</t>
  </si>
  <si>
    <t>Zone</t>
  </si>
  <si>
    <t>This zone is not explicit in the calculation</t>
  </si>
  <si>
    <t>include_np_cat</t>
  </si>
  <si>
    <t>Performs the SAM premium and reserve risk calculation.</t>
  </si>
  <si>
    <t>Premium and Reserve Risk Inputs</t>
  </si>
  <si>
    <t>Inputs</t>
  </si>
  <si>
    <t>Outputs</t>
  </si>
  <si>
    <t>Metadata</t>
  </si>
  <si>
    <t>Help File</t>
  </si>
  <si>
    <t>https://github.com/clive-africa/magnus/wiki/Premium-Reserve</t>
  </si>
  <si>
    <t>Level</t>
  </si>
  <si>
    <t>complete_lob</t>
  </si>
  <si>
    <t>sam_lob</t>
  </si>
  <si>
    <t>gross_premium</t>
  </si>
  <si>
    <t>Numerator</t>
  </si>
  <si>
    <t>Denominator</t>
  </si>
  <si>
    <t>Std Dev</t>
  </si>
  <si>
    <t>Vol</t>
  </si>
  <si>
    <t>(Vol) * (Std Dev)</t>
  </si>
  <si>
    <t>Std</t>
  </si>
  <si>
    <t>Volume</t>
  </si>
  <si>
    <t>Prem Res</t>
  </si>
  <si>
    <t>Prem</t>
  </si>
  <si>
    <t>Res</t>
  </si>
  <si>
    <t>Overall</t>
  </si>
  <si>
    <t>Premium and Reserve Risk: Correlation Matrix</t>
  </si>
  <si>
    <t>Value</t>
  </si>
  <si>
    <t>Division</t>
  </si>
  <si>
    <t>Division Level</t>
  </si>
  <si>
    <t>Division Value</t>
  </si>
  <si>
    <t>Premium</t>
  </si>
  <si>
    <t>Reserve</t>
  </si>
  <si>
    <t>Calcualtion</t>
  </si>
  <si>
    <t>net_premium</t>
  </si>
  <si>
    <t>net_calculated_premium</t>
  </si>
  <si>
    <t>net_calculated_claim</t>
  </si>
  <si>
    <t>reinsurance_p</t>
  </si>
  <si>
    <t>reinsurance_p_last</t>
  </si>
  <si>
    <t>reinsurance_p_last_24</t>
  </si>
  <si>
    <t>reinsurance_fp_existing</t>
  </si>
  <si>
    <t>reinsurance_fp_future</t>
  </si>
  <si>
    <t>reinsurance_other</t>
  </si>
  <si>
    <t>Reinsurance</t>
  </si>
  <si>
    <t>reinsurance_claim</t>
  </si>
  <si>
    <t>calculated_net_p</t>
  </si>
  <si>
    <t>calculated_net_p_last</t>
  </si>
  <si>
    <t>calculated_net_p_last_24</t>
  </si>
  <si>
    <t>calculated_net_fp_existing</t>
  </si>
  <si>
    <t>calculated_net_fp_future</t>
  </si>
  <si>
    <t>calculated_net_claim</t>
  </si>
  <si>
    <t>calculated_net_other</t>
  </si>
  <si>
    <t>reinsurance_premium</t>
  </si>
  <si>
    <t>calculation_premium</t>
  </si>
  <si>
    <t>calculation_claim</t>
  </si>
  <si>
    <t>Reinsurer</t>
  </si>
  <si>
    <t>company_a</t>
  </si>
  <si>
    <t>company_b</t>
  </si>
  <si>
    <t>company_c</t>
  </si>
  <si>
    <t>company_d</t>
  </si>
  <si>
    <t>company_e</t>
  </si>
  <si>
    <t>company_g</t>
  </si>
  <si>
    <t>direct</t>
  </si>
  <si>
    <t>intermediated</t>
  </si>
  <si>
    <t>specialised</t>
  </si>
  <si>
    <t>partnerships</t>
  </si>
  <si>
    <t>gauteng</t>
  </si>
  <si>
    <t>kzn</t>
  </si>
  <si>
    <t>western cape</t>
  </si>
  <si>
    <t>limpopo</t>
  </si>
  <si>
    <t>north west</t>
  </si>
  <si>
    <t>northern cape</t>
  </si>
  <si>
    <t>free state</t>
  </si>
  <si>
    <t>eastern cape</t>
  </si>
  <si>
    <t>Data Table</t>
  </si>
  <si>
    <t>Finalised Results</t>
  </si>
  <si>
    <t>PremRes Results</t>
  </si>
  <si>
    <t>Differences</t>
  </si>
  <si>
    <t>Magnus SCR Calculation Tool</t>
  </si>
  <si>
    <t>Calculated Correlation Matrix</t>
  </si>
  <si>
    <t>PremRes Replication</t>
  </si>
  <si>
    <t>Summary Differences</t>
  </si>
  <si>
    <t>Divisions</t>
  </si>
  <si>
    <t>Divisions &amp; Reinsurance</t>
  </si>
  <si>
    <t>Reconciliation</t>
  </si>
  <si>
    <t>WORKBOOK PROFILING SUMMARY</t>
  </si>
  <si>
    <t>Function</t>
  </si>
  <si>
    <t>Step</t>
  </si>
  <si>
    <t>Calls</t>
  </si>
  <si>
    <t>Total (s)</t>
  </si>
  <si>
    <t>Average (s)</t>
  </si>
  <si>
    <t>Min (s)</t>
  </si>
  <si>
    <t>Max (s)</t>
  </si>
  <si>
    <t>StdDev (s)</t>
  </si>
  <si>
    <t>% of Total</t>
  </si>
  <si>
    <t>Status</t>
  </si>
  <si>
    <t>FUNCTION_START</t>
  </si>
  <si>
    <t>Setup Metadata</t>
  </si>
  <si>
    <t>OK</t>
  </si>
  <si>
    <t>Convert to variant</t>
  </si>
  <si>
    <t>Prepare LOB</t>
  </si>
  <si>
    <t>Prepare RI</t>
  </si>
  <si>
    <t>Correlation matrix</t>
  </si>
  <si>
    <t>Significant</t>
  </si>
  <si>
    <t>Create Pivot</t>
  </si>
  <si>
    <t>BOTTLENECK</t>
  </si>
  <si>
    <t>Prepare Matrix</t>
  </si>
  <si>
    <t>TensorMultiplication</t>
  </si>
  <si>
    <t>PrepareOutput</t>
  </si>
  <si>
    <t>Moderate</t>
  </si>
  <si>
    <t>FUNCTION_END</t>
  </si>
  <si>
    <t>Functions Profiled:</t>
  </si>
  <si>
    <t>Iterations:</t>
  </si>
  <si>
    <t>Total Step Calls:</t>
  </si>
  <si>
    <t>Total Computation Time:</t>
  </si>
  <si>
    <t>seconds</t>
  </si>
  <si>
    <t>Average Per Iteration:</t>
  </si>
  <si>
    <t>Bottlenecks Identified:</t>
  </si>
  <si>
    <t>TOP 5 TIME CONSUMERS</t>
  </si>
  <si>
    <t>FUNCTION-LEVEL SUMMARY</t>
  </si>
  <si>
    <t>Total Calls</t>
  </si>
  <si>
    <t>Total Time (s)</t>
  </si>
  <si>
    <t>Avg Time (s)</t>
  </si>
  <si>
    <t>Min Time (s)</t>
  </si>
  <si>
    <t>Max Time (s)</t>
  </si>
  <si>
    <t>CV %</t>
  </si>
  <si>
    <t>Calls/Iter</t>
  </si>
  <si>
    <t>Notes</t>
  </si>
  <si>
    <t>This workbook is designed to demonstrate the functionality of the Magnus PremRes function.</t>
  </si>
  <si>
    <t>Licensed under the Apache License, Version 2.0 (the "License");</t>
  </si>
  <si>
    <t>you may not use this file except in compliance with the License.</t>
  </si>
  <si>
    <t>You may obtain a copy of the License at</t>
  </si>
  <si>
    <t xml:space="preserve">    http://www.apache.org/licenses/LICENSE-2.0</t>
  </si>
  <si>
    <t>Unless required by applicable law or agreed to in writing, software</t>
  </si>
  <si>
    <t>distributed under the License is distributed on an "AS IS" BASIS,</t>
  </si>
  <si>
    <t>WITHOUT WARRANTIES OR CONDITIONS OF ANY KIND, either express or implied.</t>
  </si>
  <si>
    <t>See the License for the specific language governing permissions and</t>
  </si>
  <si>
    <t>limitations under the License.</t>
  </si>
  <si>
    <t>Copyright 2025 Clive Hogarth</t>
  </si>
  <si>
    <t xml:space="preserve">                                 Apache License</t>
  </si>
  <si>
    <t xml:space="preserve">                           Version 2.0, January 2004</t>
  </si>
  <si>
    <t xml:space="preserve">                        http://www.apache.org/licenses/</t>
  </si>
  <si>
    <t xml:space="preserve">   TERMS AND CONDITIONS FOR USE, REPRODUCTION, AND DISTRIBUTION</t>
  </si>
  <si>
    <t xml:space="preserve">   1. Definitions.</t>
  </si>
  <si>
    <t xml:space="preserve">      "License" shall mean the terms and conditions for use, reproduction,</t>
  </si>
  <si>
    <t xml:space="preserve">      and distribution as defined by Sections 1 through 9 of this document.</t>
  </si>
  <si>
    <t xml:space="preserve">      "Licensor" shall mean the copyright owner or entity authorized by</t>
  </si>
  <si>
    <t xml:space="preserve">      the copyright owner that is granting the License.</t>
  </si>
  <si>
    <t xml:space="preserve">      "Legal Entity" shall mean the union of the acting entity and all</t>
  </si>
  <si>
    <t xml:space="preserve">      other entities that control, are controlled by, or are under common</t>
  </si>
  <si>
    <t xml:space="preserve">      control with that entity. For the purposes of this definition,</t>
  </si>
  <si>
    <t xml:space="preserve">      "control" means (i) the power, direct or indirect, to cause the</t>
  </si>
  <si>
    <t xml:space="preserve">      direction or management of such entity, whether by contract or</t>
  </si>
  <si>
    <t xml:space="preserve">      otherwise, or (ii) ownership of fifty percent (50%) or more of the</t>
  </si>
  <si>
    <t xml:space="preserve">      outstanding shares, or (iii) beneficial ownership of such entity.</t>
  </si>
  <si>
    <t xml:space="preserve">      "You" (or "Your") shall mean an individual or Legal Entity</t>
  </si>
  <si>
    <t xml:space="preserve">      exercising permissions granted by this License.</t>
  </si>
  <si>
    <t xml:space="preserve">      "Source" form shall mean the preferred form for making modifications,</t>
  </si>
  <si>
    <t xml:space="preserve">      including but not limited to software source code, documentation</t>
  </si>
  <si>
    <t xml:space="preserve">      source, and configuration files.</t>
  </si>
  <si>
    <t xml:space="preserve">      "Object" form shall mean any form resulting from mechanical</t>
  </si>
  <si>
    <t xml:space="preserve">      transformation or translation of a Source form, including but</t>
  </si>
  <si>
    <t xml:space="preserve">      not limited to compiled object code, generated documentation,</t>
  </si>
  <si>
    <t xml:space="preserve">      and conversions to other media types.</t>
  </si>
  <si>
    <t xml:space="preserve">      "Work" shall mean the work of authorship, whether in Source or</t>
  </si>
  <si>
    <t xml:space="preserve">      Object form, made available under the License, as indicated by a</t>
  </si>
  <si>
    <t xml:space="preserve">      copyright notice that is included in or attached to the work</t>
  </si>
  <si>
    <t xml:space="preserve">      (an example is provided in the Appendix below).</t>
  </si>
  <si>
    <t xml:space="preserve">      "Derivative Works" shall mean any work, whether in Source or Object</t>
  </si>
  <si>
    <t xml:space="preserve">      form, that is based on (or derived from) the Work and for which the</t>
  </si>
  <si>
    <t xml:space="preserve">      editorial revisions, annotations, elaborations, or other modifications</t>
  </si>
  <si>
    <t xml:space="preserve">      represent, as a whole, an original work of authorship. For the purposes</t>
  </si>
  <si>
    <t xml:space="preserve">      of this License, Derivative Works shall not include works that remain</t>
  </si>
  <si>
    <t xml:space="preserve">      separable from, or merely link (or bind by name) to the interfaces of,</t>
  </si>
  <si>
    <t xml:space="preserve">      the Work and Derivative Works thereof.</t>
  </si>
  <si>
    <t xml:space="preserve">      "Contribution" shall mean any work of authorship, including</t>
  </si>
  <si>
    <t xml:space="preserve">      the original version of the Work and any modifications or additions</t>
  </si>
  <si>
    <t xml:space="preserve">      to that Work or Derivative Works thereof, that is intentionally</t>
  </si>
  <si>
    <t xml:space="preserve">      submitted to Licensor for inclusion in the Work by the copyright owner</t>
  </si>
  <si>
    <t xml:space="preserve">      or by an individual or Legal Entity authorized to submit on behalf of</t>
  </si>
  <si>
    <t xml:space="preserve">      the copyright owner. For the purposes of this definition, "submitted"</t>
  </si>
  <si>
    <t xml:space="preserve">      means any form of electronic, verbal, or written communication sent</t>
  </si>
  <si>
    <t xml:space="preserve">      to the Licensor or its representatives, including but not limited to</t>
  </si>
  <si>
    <t xml:space="preserve">      communication on electronic mailing lists, source code control systems,</t>
  </si>
  <si>
    <t xml:space="preserve">      and issue tracking systems that are managed by, or on behalf of, the</t>
  </si>
  <si>
    <t xml:space="preserve">      Licensor for the purpose of discussing and improving the Work, but</t>
  </si>
  <si>
    <t xml:space="preserve">      excluding communication that is conspicuously marked or otherwise</t>
  </si>
  <si>
    <t xml:space="preserve">      designated in writing by the copyright owner as "Not a Contribution."</t>
  </si>
  <si>
    <t xml:space="preserve">      "Contributor" shall mean Licensor and any individual or Legal Entity</t>
  </si>
  <si>
    <t xml:space="preserve">      on behalf of whom a Contribution has been received by Licensor and</t>
  </si>
  <si>
    <t xml:space="preserve">      subsequently incorporated within the Work.</t>
  </si>
  <si>
    <t xml:space="preserve">   2. Grant of Copyright License. Subject to the terms and conditions of</t>
  </si>
  <si>
    <t xml:space="preserve">      this License, each Contributor hereby grants to You a perpetual,</t>
  </si>
  <si>
    <t xml:space="preserve">      worldwide, non-exclusive, no-charge, royalty-free, irrevocable</t>
  </si>
  <si>
    <t xml:space="preserve">      copyright license to reproduce, prepare Derivative Works of,</t>
  </si>
  <si>
    <t xml:space="preserve">      publicly display, publicly perform, sublicense, and distribute the</t>
  </si>
  <si>
    <t xml:space="preserve">      Work and such Derivative Works in Source or Object form.</t>
  </si>
  <si>
    <t xml:space="preserve">   3. Grant of Patent License. Subject to the terms and conditions of</t>
  </si>
  <si>
    <t xml:space="preserve">      (except as stated in this section) patent license to make, have made,</t>
  </si>
  <si>
    <t xml:space="preserve">      use, offer to sell, sell, import, and otherwise transfer the Work,</t>
  </si>
  <si>
    <t xml:space="preserve">      where such license applies only to those patent claims licensable</t>
  </si>
  <si>
    <t xml:space="preserve">      by such Contributor that are necessarily infringed by their</t>
  </si>
  <si>
    <t xml:space="preserve">      Contribution(s) alone or by combination of their Contribution(s)</t>
  </si>
  <si>
    <t xml:space="preserve">      with the Work to which such Contribution(s) was submitted. If You</t>
  </si>
  <si>
    <t xml:space="preserve">      institute patent litigation against any entity (including a</t>
  </si>
  <si>
    <t xml:space="preserve">      cross-claim or counterclaim in a lawsuit) alleging that the Work</t>
  </si>
  <si>
    <t xml:space="preserve">      or a Contribution incorporated within the Work constitutes direct</t>
  </si>
  <si>
    <t xml:space="preserve">      or contributory patent infringement, then any patent licenses</t>
  </si>
  <si>
    <t xml:space="preserve">      granted to You under this License for that Work shall terminate</t>
  </si>
  <si>
    <t xml:space="preserve">      as of the date such litigation is filed.</t>
  </si>
  <si>
    <t xml:space="preserve">   4. Redistribution. You may reproduce and distribute copies of the</t>
  </si>
  <si>
    <t xml:space="preserve">      Work or Derivative Works thereof in any medium, with or without</t>
  </si>
  <si>
    <t xml:space="preserve">      modifications, and in Source or Object form, provided that You</t>
  </si>
  <si>
    <t xml:space="preserve">      meet the following conditions:</t>
  </si>
  <si>
    <t xml:space="preserve">      (a) You must give any other recipients of the Work or</t>
  </si>
  <si>
    <t xml:space="preserve">          Derivative Works a copy of this License; and</t>
  </si>
  <si>
    <t xml:space="preserve">      (b) You must cause any modified files to carry prominent notices</t>
  </si>
  <si>
    <t xml:space="preserve">          stating that You changed the files; and</t>
  </si>
  <si>
    <t xml:space="preserve">      (c) You must retain, in the Source form of any Derivative Works</t>
  </si>
  <si>
    <t xml:space="preserve">          that You distribute, all copyright, patent, trademark, and</t>
  </si>
  <si>
    <t xml:space="preserve">          attribution notices from the Source form of the Work,</t>
  </si>
  <si>
    <t xml:space="preserve">          excluding those notices that do not pertain to any part of</t>
  </si>
  <si>
    <t xml:space="preserve">          the Derivative Works; and</t>
  </si>
  <si>
    <t xml:space="preserve">      (d) If the Work includes a "NOTICE" text file as part of its</t>
  </si>
  <si>
    <t xml:space="preserve">          distribution, then any Derivative Works that You distribute must</t>
  </si>
  <si>
    <t xml:space="preserve">          include a readable copy of the attribution notices contained</t>
  </si>
  <si>
    <t xml:space="preserve">          within such NOTICE file, excluding those notices that do not</t>
  </si>
  <si>
    <t xml:space="preserve">          pertain to any part of the Derivative Works, in at least one</t>
  </si>
  <si>
    <t xml:space="preserve">          of the following places: within a NOTICE text file distributed</t>
  </si>
  <si>
    <t xml:space="preserve">          as part of the Derivative Works; within the Source form or</t>
  </si>
  <si>
    <t xml:space="preserve">          documentation, if provided along with the Derivative Works; or,</t>
  </si>
  <si>
    <t xml:space="preserve">          within a display generated by the Derivative Works, if and</t>
  </si>
  <si>
    <t xml:space="preserve">          wherever such third-party notices normally appear. The contents</t>
  </si>
  <si>
    <t xml:space="preserve">          of the NOTICE file are for informational purposes only and</t>
  </si>
  <si>
    <t xml:space="preserve">          do not modify the License. You may add Your own attribution</t>
  </si>
  <si>
    <t xml:space="preserve">          notices within Derivative Works that You distribute, alongside</t>
  </si>
  <si>
    <t xml:space="preserve">          or as an addendum to the NOTICE text from the Work, provided</t>
  </si>
  <si>
    <t xml:space="preserve">          that such additional attribution notices cannot be construed</t>
  </si>
  <si>
    <t xml:space="preserve">          as modifying the License.</t>
  </si>
  <si>
    <t xml:space="preserve">      You may add Your own copyright statement to Your modifications and</t>
  </si>
  <si>
    <t xml:space="preserve">      may provide additional or different license terms and conditions</t>
  </si>
  <si>
    <t xml:space="preserve">      for use, reproduction, or distribution of Your modifications, or</t>
  </si>
  <si>
    <t xml:space="preserve">      for any such Derivative Works as a whole, provided Your use,</t>
  </si>
  <si>
    <t xml:space="preserve">      reproduction, and distribution of the Work otherwise complies with</t>
  </si>
  <si>
    <t xml:space="preserve">      the conditions stated in this License.</t>
  </si>
  <si>
    <t xml:space="preserve">   5. Submission of Contributions. Unless You explicitly state otherwise,</t>
  </si>
  <si>
    <t xml:space="preserve">      any Contribution intentionally submitted for inclusion in the Work</t>
  </si>
  <si>
    <t xml:space="preserve">      by You to the Licensor shall be under the terms and conditions of</t>
  </si>
  <si>
    <t xml:space="preserve">      this License, without any additional terms or conditions.</t>
  </si>
  <si>
    <t xml:space="preserve">      Notwithstanding the above, nothing herein shall supersede or modify</t>
  </si>
  <si>
    <t xml:space="preserve">      the terms of any separate license agreement you may have executed</t>
  </si>
  <si>
    <t xml:space="preserve">      with Licensor regarding such Contributions.</t>
  </si>
  <si>
    <t xml:space="preserve">   6. Trademarks. This License does not grant permission to use the trade</t>
  </si>
  <si>
    <t xml:space="preserve">      names, trademarks, service marks, or product names of the Licensor,</t>
  </si>
  <si>
    <t xml:space="preserve">      except as required for reasonable and customary use in describing the</t>
  </si>
  <si>
    <t xml:space="preserve">      origin of the Work and reproducing the content of the NOTICE file.</t>
  </si>
  <si>
    <t xml:space="preserve">   7. Disclaimer of Warranty. Unless required by applicable law or</t>
  </si>
  <si>
    <t xml:space="preserve">      agreed to in writing, Licensor provides the Work (and each</t>
  </si>
  <si>
    <t xml:space="preserve">      Contributor provides its Contributions) on an "AS IS" BASIS,</t>
  </si>
  <si>
    <t xml:space="preserve">      WITHOUT WARRANTIES OR CONDITIONS OF ANY KIND, either express or</t>
  </si>
  <si>
    <t xml:space="preserve">      implied, including, without limitation, any warranties or conditions</t>
  </si>
  <si>
    <t xml:space="preserve">      of TITLE, NON-INFRINGEMENT, MERCHANTABILITY, or FITNESS FOR A</t>
  </si>
  <si>
    <t xml:space="preserve">      PARTICULAR PURPOSE. You are solely responsible for determining the</t>
  </si>
  <si>
    <t xml:space="preserve">      appropriateness of using or redistributing the Work and assume any</t>
  </si>
  <si>
    <t xml:space="preserve">      risks associated with Your exercise of permissions under this License.</t>
  </si>
  <si>
    <t xml:space="preserve">   8. Limitation of Liability. In no event and under no legal theory,</t>
  </si>
  <si>
    <t xml:space="preserve">      whether in tort (including negligence), contract, or otherwise,</t>
  </si>
  <si>
    <t xml:space="preserve">      unless required by applicable law (such as deliberate and grossly</t>
  </si>
  <si>
    <t xml:space="preserve">      negligent acts) or agreed to in writing, shall any Contributor be</t>
  </si>
  <si>
    <t xml:space="preserve">      liable to You for damages, including any direct, indirect, special,</t>
  </si>
  <si>
    <t xml:space="preserve">      incidental, or consequential damages of any character arising as a</t>
  </si>
  <si>
    <t xml:space="preserve">      result of this License or out of the use or inability to use the</t>
  </si>
  <si>
    <t xml:space="preserve">      Work (including but not limited to damages for loss of goodwill,</t>
  </si>
  <si>
    <t xml:space="preserve">      work stoppage, computer failure or malfunction, or any and all</t>
  </si>
  <si>
    <t xml:space="preserve">      other commercial damages or losses), even if such Contributor</t>
  </si>
  <si>
    <t xml:space="preserve">      has been advised of the possibility of such damages.</t>
  </si>
  <si>
    <t xml:space="preserve">   9. Accepting Warranty or Additional Liability. While redistributing</t>
  </si>
  <si>
    <t xml:space="preserve">      the Work or Derivative Works thereof, You may choose to offer,</t>
  </si>
  <si>
    <t xml:space="preserve">      and charge a fee for, acceptance of support, warranty, indemnity,</t>
  </si>
  <si>
    <t xml:space="preserve">      or other liability obligations and/or rights consistent with this</t>
  </si>
  <si>
    <t xml:space="preserve">      License. However, in accepting such obligations, You may act only</t>
  </si>
  <si>
    <t xml:space="preserve">      on Your own behalf and on Your sole responsibility, not on behalf</t>
  </si>
  <si>
    <t xml:space="preserve">      of any other Contributor, and only if You agree to indemnify,</t>
  </si>
  <si>
    <t xml:space="preserve">      defend, and hold each Contributor harmless for any liability</t>
  </si>
  <si>
    <t xml:space="preserve">      incurred by, or claims asserted against, such Contributor by reason</t>
  </si>
  <si>
    <t xml:space="preserve">      of your accepting any such warranty or additional liability.</t>
  </si>
  <si>
    <t xml:space="preserve">   END OF TERMS AND CONDITIONS</t>
  </si>
  <si>
    <t xml:space="preserve">   APPENDIX: How to apply the Apache License to your work.</t>
  </si>
  <si>
    <t xml:space="preserve">      To apply the Apache License to your work, attach the following</t>
  </si>
  <si>
    <t xml:space="preserve">      boilerplate notice, with the fields enclosed by brackets "[]"</t>
  </si>
  <si>
    <t xml:space="preserve">      replaced with your own identifying information. (Don't include</t>
  </si>
  <si>
    <t xml:space="preserve">      the brackets!)  The text should be enclosed in the appropriate</t>
  </si>
  <si>
    <t xml:space="preserve">      comment syntax for the file format. We also recommend that a</t>
  </si>
  <si>
    <t xml:space="preserve">      file or class name and description of purpose be included on the</t>
  </si>
  <si>
    <t xml:space="preserve">      same "printed page" as the copyright notice for easier</t>
  </si>
  <si>
    <t xml:space="preserve">      identification within third-party archives.</t>
  </si>
  <si>
    <t xml:space="preserve">   Copyright [yyyy] [name of copyright owner]</t>
  </si>
  <si>
    <t xml:space="preserve">   Licensed under the Apache License, Version 2.0 (the "License");</t>
  </si>
  <si>
    <t xml:space="preserve">   you may not use this file except in compliance with the License.</t>
  </si>
  <si>
    <t xml:space="preserve">   You may obtain a copy of the License at</t>
  </si>
  <si>
    <t xml:space="preserve">       http://www.apache.org/licenses/LICENSE-2.0</t>
  </si>
  <si>
    <t xml:space="preserve">   Unless required by applicable law or agreed to in writing, software</t>
  </si>
  <si>
    <t xml:space="preserve">   distributed under the License is distributed on an "AS IS" BASIS,</t>
  </si>
  <si>
    <t xml:space="preserve">   WITHOUT WARRANTIES OR CONDITIONS OF ANY KIND, either express or implied.</t>
  </si>
  <si>
    <t xml:space="preserve">   See the License for the specific language governing permissions and</t>
  </si>
  <si>
    <t xml:space="preserve">   limitations under the License.</t>
  </si>
  <si>
    <t>Linked to Source Data</t>
  </si>
  <si>
    <t>Distinct LOB's from Data</t>
  </si>
  <si>
    <t>Summarised Input Data</t>
  </si>
  <si>
    <t>Reinsurer Impact</t>
  </si>
  <si>
    <t>Calculated Fields</t>
  </si>
  <si>
    <t>Summarised Calculated Net Fields</t>
  </si>
  <si>
    <t>Summarised Reinsurer Impact Fields</t>
  </si>
  <si>
    <t>Volume Measures</t>
  </si>
  <si>
    <t>Chosen Volume Measures</t>
  </si>
  <si>
    <t>Std Deviations</t>
  </si>
  <si>
    <t>Premium and Reserve Risk Calculations</t>
  </si>
  <si>
    <t>Final Result</t>
  </si>
  <si>
    <t>You can read more about the function here: https://github.com/clive-africa/magnus/wiki/Premium-Reserve</t>
  </si>
  <si>
    <t>NOTICE, LICENSE</t>
  </si>
  <si>
    <t>It details the License and Copyright requirements.</t>
  </si>
  <si>
    <t>PremRes Proof</t>
  </si>
  <si>
    <t>Example Profile Output</t>
  </si>
  <si>
    <t>It is designed to show users the output from the function and how it can be used.</t>
  </si>
  <si>
    <t>It also has the arguments to ensure that the Magnus functions are registered in Excel with links to the help files.</t>
  </si>
  <si>
    <t>Help</t>
  </si>
  <si>
    <t>There is a detailed help file available at:</t>
  </si>
  <si>
    <t>Single Overall Calculation</t>
  </si>
  <si>
    <t>Multiple Division Example</t>
  </si>
  <si>
    <t>FNP</t>
  </si>
  <si>
    <t>Please ensure that you read these worksheets and are familiar with their content.</t>
  </si>
  <si>
    <t>It further tries to provide users with an understanding of how the PremRes function works.</t>
  </si>
  <si>
    <t>This is used to help show that Magnus is working as expected.</t>
  </si>
  <si>
    <t>This contains the raw (unedited) output from the Profiler used in the workbook.</t>
  </si>
  <si>
    <t>This contains the metadata required for the various SAM calculations.</t>
  </si>
  <si>
    <t>There are a couple different sections to this workbook.</t>
  </si>
  <si>
    <t>These worksheets contian important information about the workbook and the underlying code.</t>
  </si>
  <si>
    <t>Please use this file to get more information on how to use the various functions within this Workbook.</t>
  </si>
  <si>
    <t>These worksheet(s) contain the various inputs that are required by Magnus.</t>
  </si>
  <si>
    <t>Where possible inputs have been separated from outputs.</t>
  </si>
  <si>
    <t>These worksheet(s) contain the various outputs generated by the various Magnus functions.</t>
  </si>
  <si>
    <t>These worksheets contain the various calculations required to replicate the Magnus PremRes function.</t>
  </si>
  <si>
    <t>Unfortunately some of the formulae here are longer than I would like.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</si>
</sst>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_(* #,##0_);_(* \(#,##0\);_(* &quot;-&quot;??_);_(@_)"/>
    <numFmt numFmtId="165" formatCode="_-* #,##0_-;\-* #,##0_-;_-* &quot;-&quot;??_-;_-@_-"/>
    <numFmt numFmtId="166" formatCode="0.0%"/>
    <numFmt numFmtId="167" formatCode="_-* #,##0.0_-;\-* #,##0.0_-;_-* &quot;-&quot;?_-;_-@_-"/>
    <numFmt numFmtId="168" formatCode="_ * #,##0.00_ ;_ * \-#,##0.00_ ;_ * &quot;-&quot;??_ ;_ @_ "/>
    <numFmt numFmtId="169" formatCode="0.000%"/>
    <numFmt numFmtId="171" formatCode="_-* #,##0.0000_-;\-* #,##0.0000_-;_-* &quot;-&quot;??_-;_-@_-"/>
    <numFmt numFmtId="178" formatCode="0.000000"/>
    <numFmt numFmtId="179" formatCode="0.0000"/>
    <numFmt numFmtId="180" formatCode="0.0"/>
  </numFmts>
  <fonts count="3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4"/>
      <color rgb="FF4472C4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Arial Unicode MS"/>
    </font>
  </fonts>
  <fills count="4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8" applyNumberFormat="0" applyFill="0" applyAlignment="0" applyProtection="0"/>
    <xf numFmtId="0" fontId="5" fillId="0" borderId="9" applyNumberFormat="0" applyFill="0" applyAlignment="0" applyProtection="0"/>
    <xf numFmtId="0" fontId="6" fillId="0" borderId="10" applyNumberFormat="0" applyFill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7" borderId="11" applyNumberFormat="0" applyAlignment="0" applyProtection="0"/>
    <xf numFmtId="0" fontId="10" fillId="8" borderId="12" applyNumberFormat="0" applyAlignment="0" applyProtection="0"/>
    <xf numFmtId="0" fontId="11" fillId="8" borderId="11" applyNumberFormat="0" applyAlignment="0" applyProtection="0"/>
    <xf numFmtId="0" fontId="12" fillId="0" borderId="13" applyNumberFormat="0" applyFill="0" applyAlignment="0" applyProtection="0"/>
    <xf numFmtId="0" fontId="13" fillId="9" borderId="14" applyNumberFormat="0" applyAlignment="0" applyProtection="0"/>
    <xf numFmtId="0" fontId="14" fillId="0" borderId="0" applyNumberFormat="0" applyFill="0" applyBorder="0" applyAlignment="0" applyProtection="0"/>
    <xf numFmtId="0" fontId="1" fillId="10" borderId="15" applyNumberFormat="0" applyFont="0" applyAlignment="0" applyProtection="0"/>
    <xf numFmtId="0" fontId="15" fillId="0" borderId="0" applyNumberFormat="0" applyFill="0" applyBorder="0" applyAlignment="0" applyProtection="0"/>
    <xf numFmtId="0" fontId="2" fillId="0" borderId="16" applyNumberFormat="0" applyFill="0" applyAlignment="0" applyProtection="0"/>
    <xf numFmtId="0" fontId="16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6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6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6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6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6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168" fontId="1" fillId="0" borderId="0" applyFont="0" applyFill="0" applyBorder="0" applyAlignment="0" applyProtection="0"/>
    <xf numFmtId="0" fontId="17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" fillId="0" borderId="0"/>
    <xf numFmtId="0" fontId="18" fillId="6" borderId="0" applyNumberFormat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6" fillId="14" borderId="0" applyNumberFormat="0" applyBorder="0" applyAlignment="0" applyProtection="0"/>
    <xf numFmtId="0" fontId="16" fillId="18" borderId="0" applyNumberFormat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20" fillId="0" borderId="0"/>
    <xf numFmtId="0" fontId="1" fillId="0" borderId="0"/>
    <xf numFmtId="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149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0" fillId="0" borderId="2" xfId="0" applyBorder="1"/>
    <xf numFmtId="0" fontId="0" fillId="0" borderId="3" xfId="0" applyBorder="1"/>
    <xf numFmtId="9" fontId="0" fillId="0" borderId="2" xfId="0" applyNumberFormat="1" applyBorder="1"/>
    <xf numFmtId="9" fontId="0" fillId="0" borderId="3" xfId="0" applyNumberFormat="1" applyBorder="1"/>
    <xf numFmtId="0" fontId="0" fillId="0" borderId="4" xfId="0" applyBorder="1"/>
    <xf numFmtId="9" fontId="0" fillId="0" borderId="4" xfId="0" applyNumberFormat="1" applyBorder="1"/>
    <xf numFmtId="10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165" fontId="0" fillId="0" borderId="2" xfId="1" applyNumberFormat="1" applyFont="1" applyBorder="1"/>
    <xf numFmtId="165" fontId="0" fillId="0" borderId="3" xfId="1" applyNumberFormat="1" applyFont="1" applyBorder="1"/>
    <xf numFmtId="0" fontId="3" fillId="0" borderId="0" xfId="0" applyFont="1"/>
    <xf numFmtId="0" fontId="2" fillId="2" borderId="0" xfId="0" applyFont="1" applyFill="1" applyAlignment="1">
      <alignment horizontal="center"/>
    </xf>
    <xf numFmtId="0" fontId="0" fillId="0" borderId="3" xfId="0" quotePrefix="1" applyBorder="1"/>
    <xf numFmtId="0" fontId="0" fillId="3" borderId="2" xfId="0" applyFill="1" applyBorder="1"/>
    <xf numFmtId="0" fontId="0" fillId="3" borderId="3" xfId="0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0" fontId="0" fillId="0" borderId="0" xfId="2" applyNumberFormat="1" applyFont="1"/>
    <xf numFmtId="43" fontId="0" fillId="0" borderId="0" xfId="0" applyNumberFormat="1"/>
    <xf numFmtId="0" fontId="0" fillId="0" borderId="17" xfId="0" applyBorder="1"/>
    <xf numFmtId="167" fontId="0" fillId="0" borderId="0" xfId="0" applyNumberFormat="1"/>
    <xf numFmtId="0" fontId="2" fillId="0" borderId="0" xfId="0" applyFont="1"/>
    <xf numFmtId="0" fontId="2" fillId="2" borderId="0" xfId="0" applyFont="1" applyFill="1"/>
    <xf numFmtId="0" fontId="0" fillId="2" borderId="0" xfId="0" applyFill="1"/>
    <xf numFmtId="165" fontId="0" fillId="2" borderId="0" xfId="1" applyNumberFormat="1" applyFont="1" applyFill="1"/>
    <xf numFmtId="10" fontId="0" fillId="0" borderId="2" xfId="0" applyNumberFormat="1" applyBorder="1"/>
    <xf numFmtId="10" fontId="0" fillId="0" borderId="3" xfId="0" applyNumberFormat="1" applyBorder="1"/>
    <xf numFmtId="10" fontId="0" fillId="0" borderId="4" xfId="0" applyNumberFormat="1" applyBorder="1"/>
    <xf numFmtId="10" fontId="0" fillId="0" borderId="2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0" fontId="0" fillId="2" borderId="1" xfId="0" applyFill="1" applyBorder="1"/>
    <xf numFmtId="0" fontId="2" fillId="2" borderId="1" xfId="0" quotePrefix="1" applyFont="1" applyFill="1" applyBorder="1"/>
    <xf numFmtId="0" fontId="22" fillId="0" borderId="0" xfId="61"/>
    <xf numFmtId="0" fontId="0" fillId="35" borderId="19" xfId="0" applyFill="1" applyBorder="1"/>
    <xf numFmtId="0" fontId="0" fillId="36" borderId="19" xfId="0" applyFill="1" applyBorder="1"/>
    <xf numFmtId="0" fontId="23" fillId="0" borderId="0" xfId="0" applyFont="1"/>
    <xf numFmtId="0" fontId="0" fillId="35" borderId="18" xfId="0" applyFill="1" applyBorder="1"/>
    <xf numFmtId="164" fontId="0" fillId="3" borderId="3" xfId="1" applyNumberFormat="1" applyFont="1" applyFill="1" applyBorder="1"/>
    <xf numFmtId="0" fontId="0" fillId="36" borderId="20" xfId="0" applyFill="1" applyBorder="1"/>
    <xf numFmtId="0" fontId="2" fillId="37" borderId="1" xfId="0" applyFont="1" applyFill="1" applyBorder="1" applyAlignment="1">
      <alignment horizontal="center"/>
    </xf>
    <xf numFmtId="164" fontId="0" fillId="3" borderId="2" xfId="1" applyNumberFormat="1" applyFont="1" applyFill="1" applyBorder="1"/>
    <xf numFmtId="0" fontId="2" fillId="0" borderId="0" xfId="0" applyFont="1" applyAlignment="1">
      <alignment horizontal="center"/>
    </xf>
    <xf numFmtId="0" fontId="22" fillId="0" borderId="0" xfId="61" applyAlignment="1">
      <alignment horizontal="left" indent="1"/>
    </xf>
    <xf numFmtId="0" fontId="2" fillId="35" borderId="1" xfId="0" applyFont="1" applyFill="1" applyBorder="1" applyAlignment="1">
      <alignment horizontal="center"/>
    </xf>
    <xf numFmtId="0" fontId="2" fillId="37" borderId="1" xfId="0" applyFont="1" applyFill="1" applyBorder="1"/>
    <xf numFmtId="0" fontId="2" fillId="37" borderId="1" xfId="0" quotePrefix="1" applyFont="1" applyFill="1" applyBorder="1"/>
    <xf numFmtId="165" fontId="0" fillId="0" borderId="1" xfId="0" applyNumberFormat="1" applyBorder="1"/>
    <xf numFmtId="0" fontId="2" fillId="38" borderId="1" xfId="0" applyFont="1" applyFill="1" applyBorder="1"/>
    <xf numFmtId="0" fontId="2" fillId="38" borderId="1" xfId="0" applyFont="1" applyFill="1" applyBorder="1" applyAlignment="1">
      <alignment horizontal="center"/>
    </xf>
    <xf numFmtId="166" fontId="0" fillId="0" borderId="1" xfId="2" applyNumberFormat="1" applyFont="1" applyBorder="1"/>
    <xf numFmtId="165" fontId="0" fillId="0" borderId="1" xfId="1" applyNumberFormat="1" applyFont="1" applyBorder="1"/>
    <xf numFmtId="0" fontId="0" fillId="0" borderId="0" xfId="0" quotePrefix="1"/>
    <xf numFmtId="9" fontId="0" fillId="0" borderId="0" xfId="0" applyNumberFormat="1"/>
    <xf numFmtId="0" fontId="0" fillId="3" borderId="22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2" fillId="2" borderId="2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/>
    <xf numFmtId="0" fontId="2" fillId="2" borderId="27" xfId="0" applyFont="1" applyFill="1" applyBorder="1"/>
    <xf numFmtId="0" fontId="0" fillId="3" borderId="28" xfId="0" applyFill="1" applyBorder="1"/>
    <xf numFmtId="0" fontId="0" fillId="3" borderId="29" xfId="0" applyFill="1" applyBorder="1"/>
    <xf numFmtId="164" fontId="0" fillId="3" borderId="29" xfId="1" applyNumberFormat="1" applyFont="1" applyFill="1" applyBorder="1"/>
    <xf numFmtId="0" fontId="0" fillId="3" borderId="30" xfId="0" applyFill="1" applyBorder="1"/>
    <xf numFmtId="0" fontId="0" fillId="38" borderId="1" xfId="0" applyFill="1" applyBorder="1" applyAlignment="1">
      <alignment horizontal="center"/>
    </xf>
    <xf numFmtId="169" fontId="0" fillId="0" borderId="0" xfId="2" applyNumberFormat="1" applyFont="1"/>
    <xf numFmtId="169" fontId="2" fillId="38" borderId="1" xfId="2" applyNumberFormat="1" applyFont="1" applyFill="1" applyBorder="1" applyAlignment="1">
      <alignment horizontal="center"/>
    </xf>
    <xf numFmtId="165" fontId="0" fillId="0" borderId="0" xfId="0" applyNumberFormat="1" applyBorder="1"/>
    <xf numFmtId="0" fontId="0" fillId="0" borderId="0" xfId="0" applyFill="1" applyBorder="1" applyAlignment="1">
      <alignment horizontal="center"/>
    </xf>
    <xf numFmtId="0" fontId="2" fillId="0" borderId="1" xfId="0" applyFont="1" applyBorder="1"/>
    <xf numFmtId="165" fontId="0" fillId="36" borderId="1" xfId="0" applyNumberFormat="1" applyFill="1" applyBorder="1" applyAlignment="1">
      <alignment horizontal="center" vertical="center"/>
    </xf>
    <xf numFmtId="0" fontId="2" fillId="38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5" borderId="1" xfId="0" applyFill="1" applyBorder="1" applyAlignment="1">
      <alignment horizontal="center"/>
    </xf>
    <xf numFmtId="9" fontId="0" fillId="3" borderId="24" xfId="2" applyFont="1" applyFill="1" applyBorder="1"/>
    <xf numFmtId="9" fontId="0" fillId="3" borderId="25" xfId="2" applyFont="1" applyFill="1" applyBorder="1"/>
    <xf numFmtId="0" fontId="2" fillId="2" borderId="27" xfId="0" applyFont="1" applyFill="1" applyBorder="1" applyAlignment="1">
      <alignment horizontal="center"/>
    </xf>
    <xf numFmtId="9" fontId="0" fillId="3" borderId="30" xfId="2" applyFont="1" applyFill="1" applyBorder="1"/>
    <xf numFmtId="165" fontId="0" fillId="0" borderId="4" xfId="1" applyNumberFormat="1" applyFont="1" applyBorder="1"/>
    <xf numFmtId="165" fontId="0" fillId="0" borderId="21" xfId="1" applyNumberFormat="1" applyFont="1" applyBorder="1"/>
    <xf numFmtId="0" fontId="0" fillId="36" borderId="1" xfId="0" applyFill="1" applyBorder="1" applyAlignment="1">
      <alignment horizontal="center"/>
    </xf>
    <xf numFmtId="0" fontId="0" fillId="3" borderId="33" xfId="0" applyFill="1" applyBorder="1"/>
    <xf numFmtId="0" fontId="0" fillId="3" borderId="34" xfId="0" applyFill="1" applyBorder="1"/>
    <xf numFmtId="165" fontId="0" fillId="0" borderId="2" xfId="1" applyNumberFormat="1" applyFont="1" applyBorder="1" applyAlignment="1">
      <alignment horizontal="left"/>
    </xf>
    <xf numFmtId="165" fontId="0" fillId="0" borderId="3" xfId="1" applyNumberFormat="1" applyFon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165" fontId="0" fillId="0" borderId="4" xfId="1" applyNumberFormat="1" applyFont="1" applyBorder="1" applyAlignment="1">
      <alignment horizontal="left"/>
    </xf>
    <xf numFmtId="165" fontId="0" fillId="36" borderId="5" xfId="1" applyNumberFormat="1" applyFont="1" applyFill="1" applyBorder="1"/>
    <xf numFmtId="171" fontId="0" fillId="0" borderId="2" xfId="1" applyNumberFormat="1" applyFont="1" applyBorder="1"/>
    <xf numFmtId="171" fontId="0" fillId="0" borderId="3" xfId="1" applyNumberFormat="1" applyFont="1" applyBorder="1"/>
    <xf numFmtId="171" fontId="0" fillId="0" borderId="4" xfId="1" applyNumberFormat="1" applyFont="1" applyBorder="1"/>
    <xf numFmtId="0" fontId="24" fillId="0" borderId="0" xfId="0" applyFont="1"/>
    <xf numFmtId="0" fontId="25" fillId="41" borderId="1" xfId="0" applyFont="1" applyFill="1" applyBorder="1"/>
    <xf numFmtId="0" fontId="0" fillId="0" borderId="1" xfId="0" applyBorder="1"/>
    <xf numFmtId="178" fontId="0" fillId="0" borderId="1" xfId="0" applyNumberFormat="1" applyBorder="1"/>
    <xf numFmtId="10" fontId="0" fillId="0" borderId="1" xfId="0" applyNumberFormat="1" applyBorder="1"/>
    <xf numFmtId="0" fontId="0" fillId="42" borderId="1" xfId="0" applyFill="1" applyBorder="1"/>
    <xf numFmtId="0" fontId="0" fillId="43" borderId="1" xfId="0" applyFill="1" applyBorder="1"/>
    <xf numFmtId="0" fontId="25" fillId="44" borderId="1" xfId="0" applyFont="1" applyFill="1" applyBorder="1"/>
    <xf numFmtId="0" fontId="0" fillId="39" borderId="1" xfId="0" applyFill="1" applyBorder="1"/>
    <xf numFmtId="179" fontId="0" fillId="0" borderId="0" xfId="0" applyNumberFormat="1"/>
    <xf numFmtId="179" fontId="2" fillId="0" borderId="0" xfId="0" applyNumberFormat="1" applyFont="1"/>
    <xf numFmtId="0" fontId="2" fillId="43" borderId="0" xfId="0" applyFont="1" applyFill="1"/>
    <xf numFmtId="0" fontId="2" fillId="45" borderId="0" xfId="0" applyFont="1" applyFill="1"/>
    <xf numFmtId="166" fontId="0" fillId="0" borderId="0" xfId="0" applyNumberFormat="1"/>
    <xf numFmtId="166" fontId="26" fillId="44" borderId="0" xfId="0" applyNumberFormat="1" applyFont="1" applyFill="1"/>
    <xf numFmtId="166" fontId="0" fillId="43" borderId="0" xfId="0" applyNumberFormat="1" applyFill="1"/>
    <xf numFmtId="0" fontId="27" fillId="0" borderId="0" xfId="0" applyFont="1"/>
    <xf numFmtId="180" fontId="0" fillId="0" borderId="1" xfId="0" applyNumberFormat="1" applyBorder="1"/>
    <xf numFmtId="166" fontId="0" fillId="42" borderId="1" xfId="0" applyNumberFormat="1" applyFill="1" applyBorder="1"/>
    <xf numFmtId="2" fontId="0" fillId="0" borderId="1" xfId="0" applyNumberFormat="1" applyBorder="1"/>
    <xf numFmtId="0" fontId="28" fillId="0" borderId="0" xfId="0" applyFont="1" applyFill="1" applyAlignment="1">
      <alignment horizontal="center"/>
    </xf>
    <xf numFmtId="0" fontId="0" fillId="0" borderId="0" xfId="0" applyFill="1"/>
    <xf numFmtId="0" fontId="29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2" fillId="38" borderId="32" xfId="0" applyFont="1" applyFill="1" applyBorder="1" applyAlignment="1">
      <alignment horizontal="center"/>
    </xf>
    <xf numFmtId="0" fontId="2" fillId="38" borderId="35" xfId="0" applyFont="1" applyFill="1" applyBorder="1" applyAlignment="1">
      <alignment horizontal="center"/>
    </xf>
    <xf numFmtId="0" fontId="2" fillId="38" borderId="31" xfId="0" applyFont="1" applyFill="1" applyBorder="1" applyAlignment="1">
      <alignment horizontal="center"/>
    </xf>
    <xf numFmtId="165" fontId="2" fillId="38" borderId="32" xfId="0" applyNumberFormat="1" applyFont="1" applyFill="1" applyBorder="1" applyAlignment="1">
      <alignment horizontal="center"/>
    </xf>
    <xf numFmtId="165" fontId="2" fillId="38" borderId="35" xfId="0" applyNumberFormat="1" applyFont="1" applyFill="1" applyBorder="1" applyAlignment="1">
      <alignment horizontal="center"/>
    </xf>
    <xf numFmtId="165" fontId="2" fillId="38" borderId="31" xfId="0" applyNumberFormat="1" applyFont="1" applyFill="1" applyBorder="1" applyAlignment="1">
      <alignment horizontal="center"/>
    </xf>
    <xf numFmtId="0" fontId="2" fillId="37" borderId="32" xfId="0" applyFont="1" applyFill="1" applyBorder="1" applyAlignment="1">
      <alignment horizontal="center"/>
    </xf>
    <xf numFmtId="0" fontId="2" fillId="37" borderId="35" xfId="0" applyFont="1" applyFill="1" applyBorder="1" applyAlignment="1">
      <alignment horizontal="center"/>
    </xf>
    <xf numFmtId="0" fontId="2" fillId="37" borderId="31" xfId="0" applyFont="1" applyFill="1" applyBorder="1" applyAlignment="1">
      <alignment horizontal="center"/>
    </xf>
    <xf numFmtId="169" fontId="2" fillId="38" borderId="32" xfId="2" applyNumberFormat="1" applyFont="1" applyFill="1" applyBorder="1" applyAlignment="1">
      <alignment horizontal="center"/>
    </xf>
    <xf numFmtId="169" fontId="2" fillId="38" borderId="35" xfId="2" applyNumberFormat="1" applyFont="1" applyFill="1" applyBorder="1" applyAlignment="1">
      <alignment horizontal="center"/>
    </xf>
    <xf numFmtId="169" fontId="2" fillId="38" borderId="31" xfId="2" applyNumberFormat="1" applyFont="1" applyFill="1" applyBorder="1" applyAlignment="1">
      <alignment horizontal="center"/>
    </xf>
    <xf numFmtId="0" fontId="2" fillId="36" borderId="32" xfId="0" applyFont="1" applyFill="1" applyBorder="1" applyAlignment="1">
      <alignment horizontal="center"/>
    </xf>
    <xf numFmtId="0" fontId="2" fillId="36" borderId="35" xfId="0" applyFont="1" applyFill="1" applyBorder="1" applyAlignment="1">
      <alignment horizontal="center"/>
    </xf>
    <xf numFmtId="0" fontId="2" fillId="36" borderId="31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Font="1"/>
    <xf numFmtId="0" fontId="1" fillId="0" borderId="0" xfId="61" applyFont="1"/>
    <xf numFmtId="165" fontId="2" fillId="38" borderId="1" xfId="1" applyNumberFormat="1" applyFont="1" applyFill="1" applyBorder="1" applyAlignment="1">
      <alignment horizontal="center"/>
    </xf>
    <xf numFmtId="0" fontId="27" fillId="0" borderId="0" xfId="0" applyFont="1" applyFill="1" applyAlignment="1">
      <alignment horizontal="center"/>
    </xf>
  </cellXfs>
  <cellStyles count="62">
    <cellStyle name="20% - Accent1" xfId="19" builtinId="30" customBuiltin="1"/>
    <cellStyle name="20% - Accent2" xfId="22" builtinId="34" customBuiltin="1"/>
    <cellStyle name="20% - Accent3" xfId="25" builtinId="38" customBuiltin="1"/>
    <cellStyle name="20% - Accent4" xfId="28" builtinId="42" customBuiltin="1"/>
    <cellStyle name="20% - Accent5" xfId="31" builtinId="46" customBuiltin="1"/>
    <cellStyle name="20% - Accent6" xfId="34" builtinId="50" customBuiltin="1"/>
    <cellStyle name="40% - Accent1" xfId="20" builtinId="31" customBuiltin="1"/>
    <cellStyle name="40% - Accent2" xfId="23" builtinId="35" customBuiltin="1"/>
    <cellStyle name="40% - Accent3" xfId="26" builtinId="39" customBuiltin="1"/>
    <cellStyle name="40% - Accent4" xfId="29" builtinId="43" customBuiltin="1"/>
    <cellStyle name="40% - Accent5" xfId="32" builtinId="47" customBuiltin="1"/>
    <cellStyle name="40% - Accent6" xfId="35" builtinId="51" customBuiltin="1"/>
    <cellStyle name="60% - Accent1 2" xfId="47" xr:uid="{7BBE2D16-C4C0-4BC5-947F-1F96E87F4E7E}"/>
    <cellStyle name="60% - Accent2 2" xfId="48" xr:uid="{F036440B-8619-4B48-A8E6-5CB7C9FC96E3}"/>
    <cellStyle name="60% - Accent3 2" xfId="49" xr:uid="{45F0A456-F729-4D18-B4D1-79F6FBCB9503}"/>
    <cellStyle name="60% - Accent4 2" xfId="50" xr:uid="{C35A2FD3-575A-4A4C-8579-5E68C2F10FBA}"/>
    <cellStyle name="60% - Accent5 2" xfId="51" xr:uid="{A37ABA09-6DCD-4D0A-BDA2-7A717B48F4C0}"/>
    <cellStyle name="60% - Accent6 2" xfId="52" xr:uid="{299DABF4-937C-42B4-AC1F-1E45ADC4C175}"/>
    <cellStyle name="Accent1" xfId="18" builtinId="29" customBuiltin="1"/>
    <cellStyle name="Accent2" xfId="21" builtinId="33" customBuiltin="1"/>
    <cellStyle name="Accent3" xfId="24" builtinId="37" customBuiltin="1"/>
    <cellStyle name="Accent4" xfId="27" builtinId="41" customBuiltin="1"/>
    <cellStyle name="Accent5" xfId="30" builtinId="45" customBuiltin="1"/>
    <cellStyle name="Accent6" xfId="33" builtinId="49" customBuiltin="1"/>
    <cellStyle name="Bad" xfId="8" builtinId="27" customBuiltin="1"/>
    <cellStyle name="Calculation" xfId="11" builtinId="22" customBuiltin="1"/>
    <cellStyle name="Check Cell" xfId="13" builtinId="23" customBuiltin="1"/>
    <cellStyle name="Comma" xfId="1" builtinId="3"/>
    <cellStyle name="Comma 2" xfId="58" xr:uid="{28AA1EC0-5D96-482E-AA47-AC4FC5B58148}"/>
    <cellStyle name="Comma 2 2" xfId="43" xr:uid="{BF4A691F-07D9-4BB4-917C-D2EEE0C8E894}"/>
    <cellStyle name="Comma 3" xfId="59" xr:uid="{EF586D2C-770D-4AB1-B8D7-D1A1E560101A}"/>
    <cellStyle name="Comma 3 2" xfId="42" xr:uid="{07E00456-756A-4356-A977-D098F5319EE3}"/>
    <cellStyle name="Comma 3 3" xfId="38" xr:uid="{2982291B-FC12-4D01-900C-7A65149756A5}"/>
    <cellStyle name="Comma 4" xfId="60" xr:uid="{6D0480B3-68AC-4BD3-B763-FB302E8A10C4}"/>
    <cellStyle name="Comma 4 2" xfId="44" xr:uid="{FC254C22-34F1-4B67-8891-390EFE8B9C83}"/>
    <cellStyle name="Comma 5" xfId="39" xr:uid="{A4B90FED-52C9-4377-B046-084382C5DAB7}"/>
    <cellStyle name="Comma 5 2" xfId="36" xr:uid="{267A5CD9-F517-491A-A9B0-5FEA83AE87A1}"/>
    <cellStyle name="Comma 6" xfId="46" xr:uid="{894BEBDE-C7D2-4670-94A1-5D5DAF496A58}"/>
    <cellStyle name="Comma 6 2" xfId="45" xr:uid="{A1D3B767-539B-487A-AC15-4674BC64977B}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61" builtinId="8"/>
    <cellStyle name="Input" xfId="9" builtinId="20" customBuiltin="1"/>
    <cellStyle name="Linked Cell" xfId="12" builtinId="24" customBuiltin="1"/>
    <cellStyle name="Neutral 2" xfId="41" xr:uid="{B0FBDBD0-C33E-4DF4-B266-348B30365FD6}"/>
    <cellStyle name="Normal" xfId="0" builtinId="0"/>
    <cellStyle name="Normal 2" xfId="56" xr:uid="{A916ACB3-0FCD-428E-B79D-3F5713377470}"/>
    <cellStyle name="Normal 3" xfId="40" xr:uid="{D74A9825-D56B-4325-98FE-747DAC315E1C}"/>
    <cellStyle name="Normal 6" xfId="55" xr:uid="{599B3DC5-77AF-4265-8CD2-B23A3A41488D}"/>
    <cellStyle name="Normal 7" xfId="53" xr:uid="{1644AACC-FABE-4DAC-818A-94E81E9DF820}"/>
    <cellStyle name="Normal 8" xfId="54" xr:uid="{FB2CA017-7C8B-477C-91B8-802CEC0C63FA}"/>
    <cellStyle name="Note" xfId="15" builtinId="10" customBuiltin="1"/>
    <cellStyle name="Output" xfId="10" builtinId="21" customBuiltin="1"/>
    <cellStyle name="Per cent" xfId="2" builtinId="5"/>
    <cellStyle name="Percent 2" xfId="57" xr:uid="{BD9919A8-DA4B-4B09-BCAD-A44175840467}"/>
    <cellStyle name="Title 2" xfId="37" xr:uid="{45E3CE66-E11F-4EB4-81D6-31A00A27C210}"/>
    <cellStyle name="Total" xfId="17" builtinId="25" customBuiltin="1"/>
    <cellStyle name="Warning Text" xfId="14" builtinId="11" customBuiltin="1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(* #,##0_);_(* \(#,##0\);_(* &quot;-&quot;??_);_(@_)"/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0" tint="-0.14996795556505021"/>
        </bottom>
      </border>
    </dxf>
    <dxf>
      <fill>
        <patternFill patternType="solid">
          <fgColor indexed="64"/>
          <bgColor rgb="FFFFFFCC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alcChain" Target="calcChain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AC67D19-8B6D-4F5C-A2F0-2C6C2B36ECE4}" name="tPremRes" displayName="tPremRes" ref="B5:W45" totalsRowShown="0" headerRowDxfId="31" dataDxfId="29" headerRowBorderDxfId="30" tableBorderDxfId="28">
  <autoFilter ref="B5:W45" xr:uid="{BA30A7B1-2563-47EB-B19A-83A608000FE2}"/>
  <tableColumns count="22">
    <tableColumn id="1" xr3:uid="{07FD8F3D-BAC2-46AA-856B-02E0246EA81D}" name="level_1" dataDxfId="27"/>
    <tableColumn id="2" xr3:uid="{6DAA3720-6C53-4946-AB22-0435226E0537}" name="level_2" dataDxfId="26"/>
    <tableColumn id="3" xr3:uid="{8BC0B821-D880-4D97-BD28-BB93D822DBFD}" name="lob_type" dataDxfId="25"/>
    <tableColumn id="4" xr3:uid="{9D7C03C0-34B9-4113-8A88-113428712961}" name="lob" dataDxfId="24"/>
    <tableColumn id="5" xr3:uid="{EB388E8E-B5CF-4CC7-91E9-B712DFED2682}" name="gross_p" dataDxfId="23" dataCellStyle="Comma"/>
    <tableColumn id="6" xr3:uid="{3D5F386B-45E0-40AD-92FB-34D8DB7FB50A}" name="gross_p_last" dataDxfId="22" dataCellStyle="Comma"/>
    <tableColumn id="7" xr3:uid="{7C454A14-9062-45B5-8840-3B24765ACF37}" name="gross_p_last_24" dataDxfId="21" dataCellStyle="Comma"/>
    <tableColumn id="8" xr3:uid="{88D1007B-1A4A-4407-93D1-BAFD58D419ED}" name="gross_fp_existing" dataDxfId="20" dataCellStyle="Comma"/>
    <tableColumn id="9" xr3:uid="{C7AC7201-C455-4393-83D0-C0107399D737}" name="gross_fp_future" dataDxfId="19" dataCellStyle="Comma"/>
    <tableColumn id="10" xr3:uid="{830FAF71-9507-43ED-890C-B7D2D39AD295}" name="gross_claim" dataDxfId="18" dataCellStyle="Comma"/>
    <tableColumn id="11" xr3:uid="{D9305B0D-E8A5-4B5B-B203-17F8DDEF8AA9}" name="gross_other" dataDxfId="17" dataCellStyle="Comma"/>
    <tableColumn id="12" xr3:uid="{1A20E8F0-D106-4EF5-A542-4BC1B6B79225}" name="net_p" dataDxfId="16" dataCellStyle="Comma"/>
    <tableColumn id="13" xr3:uid="{2FD585CC-4C9C-4584-9967-B2FAF3C443E2}" name="net_p_last" dataDxfId="15" dataCellStyle="Comma"/>
    <tableColumn id="14" xr3:uid="{C376732A-C691-4F09-98CD-8BC59CEC7355}" name="net_p_last_24" dataDxfId="14" dataCellStyle="Comma"/>
    <tableColumn id="15" xr3:uid="{0178DE0E-444F-4969-BA1E-3CBA9111F719}" name="net_fp_existing" dataDxfId="0" dataCellStyle="Comma"/>
    <tableColumn id="16" xr3:uid="{6BAC8A9D-22B8-42C7-BB3C-6213082B310F}" name="net_fp_future" dataDxfId="13" dataCellStyle="Comma"/>
    <tableColumn id="17" xr3:uid="{7EF0D57E-F73F-4981-9F48-F1482954FC22}" name="net_claim" dataDxfId="12" dataCellStyle="Comma"/>
    <tableColumn id="18" xr3:uid="{531402B1-5666-4A10-BDC8-AE86CD861027}" name="net_other" dataDxfId="11" dataCellStyle="Comma"/>
    <tableColumn id="19" xr3:uid="{2730DB33-0619-4375-A71F-725A5CEF63BB}" name="include_factor_cat" dataDxfId="10"/>
    <tableColumn id="20" xr3:uid="{943E9C3F-48B1-428D-9BC2-4369730DCA92}" name="include_np_cat" dataDxfId="9"/>
    <tableColumn id="21" xr3:uid="{8F19BF8D-B9FE-459F-9B09-4686820238C6}" name="reinsurance_id" dataDxfId="8"/>
    <tableColumn id="22" xr3:uid="{BD26DFC4-B6EE-428E-A5D0-4E42FEFE4D00}" name="ri_structure" dataDxfId="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615FE7-A73A-4367-918D-4EFCA3CC0B62}" name="tReinsurance" displayName="tReinsurance" ref="Y5:AA17" totalsRowShown="0" headerRowDxfId="1" headerRowBorderDxfId="5" tableBorderDxfId="6">
  <autoFilter ref="Y5:AA17" xr:uid="{CD615FE7-A73A-4367-918D-4EFCA3CC0B62}"/>
  <tableColumns count="3">
    <tableColumn id="1" xr3:uid="{8665AA23-E33C-4D16-BB43-6A8C267A1881}" name="reinsurance_id" dataDxfId="4"/>
    <tableColumn id="2" xr3:uid="{56E6811D-D197-45A0-A314-F67327165898}" name="counterparty_id" dataDxfId="3"/>
    <tableColumn id="3" xr3:uid="{5E43937E-3100-4119-A252-5278C3E744D0}" name="counterparty_share" dataDxfId="2" dataCellStyle="Per 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clive-africa/magnus/wiki/Premium-Reserve" TargetMode="External"/><Relationship Id="rId1" Type="http://schemas.openxmlformats.org/officeDocument/2006/relationships/hyperlink" Target="https://github.com/clive-africa/magnus/wiki/Premium-Reserve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B3518-5654-4240-AEC1-82213C876F95}">
  <sheetPr codeName="Sheet37"/>
  <dimension ref="B3:B15"/>
  <sheetViews>
    <sheetView showGridLines="0" workbookViewId="0">
      <selection activeCell="L14" sqref="L14"/>
    </sheetView>
  </sheetViews>
  <sheetFormatPr defaultRowHeight="14.5"/>
  <cols>
    <col min="1" max="1" width="1.36328125" style="124" customWidth="1"/>
    <col min="2" max="2" width="74.36328125" style="124" customWidth="1"/>
    <col min="3" max="16384" width="8.7265625" style="124"/>
  </cols>
  <sheetData>
    <row r="3" spans="2:2" ht="16">
      <c r="B3" s="148" t="s">
        <v>316</v>
      </c>
    </row>
    <row r="4" spans="2:2" ht="16">
      <c r="B4" s="123"/>
    </row>
    <row r="5" spans="2:2" ht="16">
      <c r="B5" s="123" t="s">
        <v>307</v>
      </c>
    </row>
    <row r="6" spans="2:2" ht="16">
      <c r="B6" s="123" t="s">
        <v>308</v>
      </c>
    </row>
    <row r="7" spans="2:2" ht="16">
      <c r="B7" s="123" t="s">
        <v>309</v>
      </c>
    </row>
    <row r="8" spans="2:2" ht="16">
      <c r="B8" s="123"/>
    </row>
    <row r="9" spans="2:2" ht="16">
      <c r="B9" s="123" t="s">
        <v>310</v>
      </c>
    </row>
    <row r="10" spans="2:2" ht="16">
      <c r="B10" s="123"/>
    </row>
    <row r="11" spans="2:2" ht="16">
      <c r="B11" s="123" t="s">
        <v>311</v>
      </c>
    </row>
    <row r="12" spans="2:2" ht="16">
      <c r="B12" s="123" t="s">
        <v>312</v>
      </c>
    </row>
    <row r="13" spans="2:2" ht="16">
      <c r="B13" s="123" t="s">
        <v>313</v>
      </c>
    </row>
    <row r="14" spans="2:2" ht="16">
      <c r="B14" s="123" t="s">
        <v>314</v>
      </c>
    </row>
    <row r="15" spans="2:2" ht="16">
      <c r="B15" s="123" t="s">
        <v>315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77CD5-01AA-481B-AA0B-A466A41EF30D}">
  <sheetPr codeName="Sheet38"/>
  <dimension ref="B2:B202"/>
  <sheetViews>
    <sheetView showGridLines="0" topLeftCell="A106" workbookViewId="0">
      <selection activeCell="B217" sqref="B217"/>
    </sheetView>
  </sheetViews>
  <sheetFormatPr defaultRowHeight="14.5"/>
  <cols>
    <col min="1" max="1" width="1.36328125" style="124" customWidth="1"/>
    <col min="2" max="2" width="99.453125" style="124" customWidth="1"/>
    <col min="3" max="16384" width="8.7265625" style="124"/>
  </cols>
  <sheetData>
    <row r="2" spans="2:2">
      <c r="B2" s="125" t="s">
        <v>317</v>
      </c>
    </row>
    <row r="3" spans="2:2">
      <c r="B3" s="125" t="s">
        <v>318</v>
      </c>
    </row>
    <row r="4" spans="2:2">
      <c r="B4" s="125" t="s">
        <v>319</v>
      </c>
    </row>
    <row r="5" spans="2:2">
      <c r="B5" s="126"/>
    </row>
    <row r="6" spans="2:2">
      <c r="B6" s="125" t="s">
        <v>320</v>
      </c>
    </row>
    <row r="7" spans="2:2">
      <c r="B7" s="126"/>
    </row>
    <row r="8" spans="2:2">
      <c r="B8" s="125" t="s">
        <v>321</v>
      </c>
    </row>
    <row r="9" spans="2:2">
      <c r="B9" s="126"/>
    </row>
    <row r="10" spans="2:2">
      <c r="B10" s="125" t="s">
        <v>322</v>
      </c>
    </row>
    <row r="11" spans="2:2">
      <c r="B11" s="125" t="s">
        <v>323</v>
      </c>
    </row>
    <row r="12" spans="2:2">
      <c r="B12" s="126"/>
    </row>
    <row r="13" spans="2:2">
      <c r="B13" s="125" t="s">
        <v>324</v>
      </c>
    </row>
    <row r="14" spans="2:2">
      <c r="B14" s="125" t="s">
        <v>325</v>
      </c>
    </row>
    <row r="15" spans="2:2">
      <c r="B15" s="126"/>
    </row>
    <row r="16" spans="2:2">
      <c r="B16" s="125" t="s">
        <v>326</v>
      </c>
    </row>
    <row r="17" spans="2:2">
      <c r="B17" s="125" t="s">
        <v>327</v>
      </c>
    </row>
    <row r="18" spans="2:2">
      <c r="B18" s="125" t="s">
        <v>328</v>
      </c>
    </row>
    <row r="19" spans="2:2">
      <c r="B19" s="125" t="s">
        <v>329</v>
      </c>
    </row>
    <row r="20" spans="2:2">
      <c r="B20" s="125" t="s">
        <v>330</v>
      </c>
    </row>
    <row r="21" spans="2:2">
      <c r="B21" s="125" t="s">
        <v>331</v>
      </c>
    </row>
    <row r="22" spans="2:2">
      <c r="B22" s="125" t="s">
        <v>332</v>
      </c>
    </row>
    <row r="23" spans="2:2">
      <c r="B23" s="126"/>
    </row>
    <row r="24" spans="2:2">
      <c r="B24" s="125" t="s">
        <v>333</v>
      </c>
    </row>
    <row r="25" spans="2:2">
      <c r="B25" s="125" t="s">
        <v>334</v>
      </c>
    </row>
    <row r="26" spans="2:2">
      <c r="B26" s="126"/>
    </row>
    <row r="27" spans="2:2">
      <c r="B27" s="125" t="s">
        <v>335</v>
      </c>
    </row>
    <row r="28" spans="2:2">
      <c r="B28" s="125" t="s">
        <v>336</v>
      </c>
    </row>
    <row r="29" spans="2:2">
      <c r="B29" s="125" t="s">
        <v>337</v>
      </c>
    </row>
    <row r="30" spans="2:2">
      <c r="B30" s="126"/>
    </row>
    <row r="31" spans="2:2">
      <c r="B31" s="125" t="s">
        <v>338</v>
      </c>
    </row>
    <row r="32" spans="2:2">
      <c r="B32" s="125" t="s">
        <v>339</v>
      </c>
    </row>
    <row r="33" spans="2:2">
      <c r="B33" s="125" t="s">
        <v>340</v>
      </c>
    </row>
    <row r="34" spans="2:2">
      <c r="B34" s="125" t="s">
        <v>341</v>
      </c>
    </row>
    <row r="35" spans="2:2">
      <c r="B35" s="126"/>
    </row>
    <row r="36" spans="2:2">
      <c r="B36" s="125" t="s">
        <v>342</v>
      </c>
    </row>
    <row r="37" spans="2:2">
      <c r="B37" s="125" t="s">
        <v>343</v>
      </c>
    </row>
    <row r="38" spans="2:2">
      <c r="B38" s="125" t="s">
        <v>344</v>
      </c>
    </row>
    <row r="39" spans="2:2">
      <c r="B39" s="125" t="s">
        <v>345</v>
      </c>
    </row>
    <row r="40" spans="2:2">
      <c r="B40" s="126"/>
    </row>
    <row r="41" spans="2:2">
      <c r="B41" s="125" t="s">
        <v>346</v>
      </c>
    </row>
    <row r="42" spans="2:2">
      <c r="B42" s="125" t="s">
        <v>347</v>
      </c>
    </row>
    <row r="43" spans="2:2">
      <c r="B43" s="125" t="s">
        <v>348</v>
      </c>
    </row>
    <row r="44" spans="2:2">
      <c r="B44" s="125" t="s">
        <v>349</v>
      </c>
    </row>
    <row r="45" spans="2:2">
      <c r="B45" s="125" t="s">
        <v>350</v>
      </c>
    </row>
    <row r="46" spans="2:2">
      <c r="B46" s="125" t="s">
        <v>351</v>
      </c>
    </row>
    <row r="47" spans="2:2">
      <c r="B47" s="125" t="s">
        <v>352</v>
      </c>
    </row>
    <row r="48" spans="2:2">
      <c r="B48" s="126"/>
    </row>
    <row r="49" spans="2:2">
      <c r="B49" s="125" t="s">
        <v>353</v>
      </c>
    </row>
    <row r="50" spans="2:2">
      <c r="B50" s="125" t="s">
        <v>354</v>
      </c>
    </row>
    <row r="51" spans="2:2">
      <c r="B51" s="125" t="s">
        <v>355</v>
      </c>
    </row>
    <row r="52" spans="2:2">
      <c r="B52" s="125" t="s">
        <v>356</v>
      </c>
    </row>
    <row r="53" spans="2:2">
      <c r="B53" s="125" t="s">
        <v>357</v>
      </c>
    </row>
    <row r="54" spans="2:2">
      <c r="B54" s="125" t="s">
        <v>358</v>
      </c>
    </row>
    <row r="55" spans="2:2">
      <c r="B55" s="125" t="s">
        <v>359</v>
      </c>
    </row>
    <row r="56" spans="2:2">
      <c r="B56" s="125" t="s">
        <v>360</v>
      </c>
    </row>
    <row r="57" spans="2:2">
      <c r="B57" s="125" t="s">
        <v>361</v>
      </c>
    </row>
    <row r="58" spans="2:2">
      <c r="B58" s="125" t="s">
        <v>362</v>
      </c>
    </row>
    <row r="59" spans="2:2">
      <c r="B59" s="125" t="s">
        <v>363</v>
      </c>
    </row>
    <row r="60" spans="2:2">
      <c r="B60" s="125" t="s">
        <v>364</v>
      </c>
    </row>
    <row r="61" spans="2:2">
      <c r="B61" s="125" t="s">
        <v>365</v>
      </c>
    </row>
    <row r="62" spans="2:2">
      <c r="B62" s="126"/>
    </row>
    <row r="63" spans="2:2">
      <c r="B63" s="125" t="s">
        <v>366</v>
      </c>
    </row>
    <row r="64" spans="2:2">
      <c r="B64" s="125" t="s">
        <v>367</v>
      </c>
    </row>
    <row r="65" spans="2:2">
      <c r="B65" s="125" t="s">
        <v>368</v>
      </c>
    </row>
    <row r="66" spans="2:2">
      <c r="B66" s="126"/>
    </row>
    <row r="67" spans="2:2">
      <c r="B67" s="125" t="s">
        <v>369</v>
      </c>
    </row>
    <row r="68" spans="2:2">
      <c r="B68" s="125" t="s">
        <v>370</v>
      </c>
    </row>
    <row r="69" spans="2:2">
      <c r="B69" s="125" t="s">
        <v>371</v>
      </c>
    </row>
    <row r="70" spans="2:2">
      <c r="B70" s="125" t="s">
        <v>372</v>
      </c>
    </row>
    <row r="71" spans="2:2">
      <c r="B71" s="125" t="s">
        <v>373</v>
      </c>
    </row>
    <row r="72" spans="2:2">
      <c r="B72" s="125" t="s">
        <v>374</v>
      </c>
    </row>
    <row r="73" spans="2:2">
      <c r="B73" s="126"/>
    </row>
    <row r="74" spans="2:2">
      <c r="B74" s="125" t="s">
        <v>375</v>
      </c>
    </row>
    <row r="75" spans="2:2">
      <c r="B75" s="125" t="s">
        <v>370</v>
      </c>
    </row>
    <row r="76" spans="2:2">
      <c r="B76" s="125" t="s">
        <v>371</v>
      </c>
    </row>
    <row r="77" spans="2:2">
      <c r="B77" s="125" t="s">
        <v>376</v>
      </c>
    </row>
    <row r="78" spans="2:2">
      <c r="B78" s="125" t="s">
        <v>377</v>
      </c>
    </row>
    <row r="79" spans="2:2">
      <c r="B79" s="125" t="s">
        <v>378</v>
      </c>
    </row>
    <row r="80" spans="2:2">
      <c r="B80" s="125" t="s">
        <v>379</v>
      </c>
    </row>
    <row r="81" spans="2:2">
      <c r="B81" s="125" t="s">
        <v>380</v>
      </c>
    </row>
    <row r="82" spans="2:2">
      <c r="B82" s="125" t="s">
        <v>381</v>
      </c>
    </row>
    <row r="83" spans="2:2">
      <c r="B83" s="125" t="s">
        <v>382</v>
      </c>
    </row>
    <row r="84" spans="2:2">
      <c r="B84" s="125" t="s">
        <v>383</v>
      </c>
    </row>
    <row r="85" spans="2:2">
      <c r="B85" s="125" t="s">
        <v>384</v>
      </c>
    </row>
    <row r="86" spans="2:2">
      <c r="B86" s="125" t="s">
        <v>385</v>
      </c>
    </row>
    <row r="87" spans="2:2">
      <c r="B87" s="125" t="s">
        <v>386</v>
      </c>
    </row>
    <row r="88" spans="2:2">
      <c r="B88" s="125" t="s">
        <v>387</v>
      </c>
    </row>
    <row r="89" spans="2:2">
      <c r="B89" s="126"/>
    </row>
    <row r="90" spans="2:2">
      <c r="B90" s="125" t="s">
        <v>388</v>
      </c>
    </row>
    <row r="91" spans="2:2">
      <c r="B91" s="125" t="s">
        <v>389</v>
      </c>
    </row>
    <row r="92" spans="2:2">
      <c r="B92" s="125" t="s">
        <v>390</v>
      </c>
    </row>
    <row r="93" spans="2:2">
      <c r="B93" s="125" t="s">
        <v>391</v>
      </c>
    </row>
    <row r="94" spans="2:2">
      <c r="B94" s="126"/>
    </row>
    <row r="95" spans="2:2">
      <c r="B95" s="125" t="s">
        <v>392</v>
      </c>
    </row>
    <row r="96" spans="2:2">
      <c r="B96" s="125" t="s">
        <v>393</v>
      </c>
    </row>
    <row r="97" spans="2:2">
      <c r="B97" s="126"/>
    </row>
    <row r="98" spans="2:2">
      <c r="B98" s="125" t="s">
        <v>394</v>
      </c>
    </row>
    <row r="99" spans="2:2">
      <c r="B99" s="125" t="s">
        <v>395</v>
      </c>
    </row>
    <row r="100" spans="2:2">
      <c r="B100" s="126"/>
    </row>
    <row r="101" spans="2:2">
      <c r="B101" s="125" t="s">
        <v>396</v>
      </c>
    </row>
    <row r="102" spans="2:2">
      <c r="B102" s="125" t="s">
        <v>397</v>
      </c>
    </row>
    <row r="103" spans="2:2">
      <c r="B103" s="125" t="s">
        <v>398</v>
      </c>
    </row>
    <row r="104" spans="2:2">
      <c r="B104" s="125" t="s">
        <v>399</v>
      </c>
    </row>
    <row r="105" spans="2:2">
      <c r="B105" s="125" t="s">
        <v>400</v>
      </c>
    </row>
    <row r="106" spans="2:2">
      <c r="B106" s="126"/>
    </row>
    <row r="107" spans="2:2">
      <c r="B107" s="125" t="s">
        <v>401</v>
      </c>
    </row>
    <row r="108" spans="2:2">
      <c r="B108" s="125" t="s">
        <v>402</v>
      </c>
    </row>
    <row r="109" spans="2:2">
      <c r="B109" s="125" t="s">
        <v>403</v>
      </c>
    </row>
    <row r="110" spans="2:2">
      <c r="B110" s="125" t="s">
        <v>404</v>
      </c>
    </row>
    <row r="111" spans="2:2">
      <c r="B111" s="125" t="s">
        <v>405</v>
      </c>
    </row>
    <row r="112" spans="2:2">
      <c r="B112" s="125" t="s">
        <v>406</v>
      </c>
    </row>
    <row r="113" spans="2:2">
      <c r="B113" s="125" t="s">
        <v>407</v>
      </c>
    </row>
    <row r="114" spans="2:2">
      <c r="B114" s="125" t="s">
        <v>408</v>
      </c>
    </row>
    <row r="115" spans="2:2">
      <c r="B115" s="125" t="s">
        <v>409</v>
      </c>
    </row>
    <row r="116" spans="2:2">
      <c r="B116" s="125" t="s">
        <v>410</v>
      </c>
    </row>
    <row r="117" spans="2:2">
      <c r="B117" s="125" t="s">
        <v>411</v>
      </c>
    </row>
    <row r="118" spans="2:2">
      <c r="B118" s="125" t="s">
        <v>412</v>
      </c>
    </row>
    <row r="119" spans="2:2">
      <c r="B119" s="125" t="s">
        <v>413</v>
      </c>
    </row>
    <row r="120" spans="2:2">
      <c r="B120" s="125" t="s">
        <v>414</v>
      </c>
    </row>
    <row r="121" spans="2:2">
      <c r="B121" s="125" t="s">
        <v>415</v>
      </c>
    </row>
    <row r="122" spans="2:2">
      <c r="B122" s="125" t="s">
        <v>416</v>
      </c>
    </row>
    <row r="123" spans="2:2">
      <c r="B123" s="126"/>
    </row>
    <row r="124" spans="2:2">
      <c r="B124" s="125" t="s">
        <v>417</v>
      </c>
    </row>
    <row r="125" spans="2:2">
      <c r="B125" s="125" t="s">
        <v>418</v>
      </c>
    </row>
    <row r="126" spans="2:2">
      <c r="B126" s="125" t="s">
        <v>419</v>
      </c>
    </row>
    <row r="127" spans="2:2">
      <c r="B127" s="125" t="s">
        <v>420</v>
      </c>
    </row>
    <row r="128" spans="2:2">
      <c r="B128" s="125" t="s">
        <v>421</v>
      </c>
    </row>
    <row r="129" spans="2:2">
      <c r="B129" s="125" t="s">
        <v>422</v>
      </c>
    </row>
    <row r="130" spans="2:2">
      <c r="B130" s="126"/>
    </row>
    <row r="131" spans="2:2">
      <c r="B131" s="125" t="s">
        <v>423</v>
      </c>
    </row>
    <row r="132" spans="2:2">
      <c r="B132" s="125" t="s">
        <v>424</v>
      </c>
    </row>
    <row r="133" spans="2:2">
      <c r="B133" s="125" t="s">
        <v>425</v>
      </c>
    </row>
    <row r="134" spans="2:2">
      <c r="B134" s="125" t="s">
        <v>426</v>
      </c>
    </row>
    <row r="135" spans="2:2">
      <c r="B135" s="125" t="s">
        <v>427</v>
      </c>
    </row>
    <row r="136" spans="2:2">
      <c r="B136" s="125" t="s">
        <v>428</v>
      </c>
    </row>
    <row r="137" spans="2:2">
      <c r="B137" s="125" t="s">
        <v>429</v>
      </c>
    </row>
    <row r="138" spans="2:2">
      <c r="B138" s="126"/>
    </row>
    <row r="139" spans="2:2">
      <c r="B139" s="125" t="s">
        <v>430</v>
      </c>
    </row>
    <row r="140" spans="2:2">
      <c r="B140" s="125" t="s">
        <v>431</v>
      </c>
    </row>
    <row r="141" spans="2:2">
      <c r="B141" s="125" t="s">
        <v>432</v>
      </c>
    </row>
    <row r="142" spans="2:2">
      <c r="B142" s="125" t="s">
        <v>433</v>
      </c>
    </row>
    <row r="143" spans="2:2">
      <c r="B143" s="126"/>
    </row>
    <row r="144" spans="2:2">
      <c r="B144" s="125" t="s">
        <v>434</v>
      </c>
    </row>
    <row r="145" spans="2:2">
      <c r="B145" s="125" t="s">
        <v>435</v>
      </c>
    </row>
    <row r="146" spans="2:2">
      <c r="B146" s="125" t="s">
        <v>436</v>
      </c>
    </row>
    <row r="147" spans="2:2">
      <c r="B147" s="125" t="s">
        <v>437</v>
      </c>
    </row>
    <row r="148" spans="2:2">
      <c r="B148" s="125" t="s">
        <v>438</v>
      </c>
    </row>
    <row r="149" spans="2:2">
      <c r="B149" s="125" t="s">
        <v>439</v>
      </c>
    </row>
    <row r="150" spans="2:2">
      <c r="B150" s="125" t="s">
        <v>440</v>
      </c>
    </row>
    <row r="151" spans="2:2">
      <c r="B151" s="125" t="s">
        <v>441</v>
      </c>
    </row>
    <row r="152" spans="2:2">
      <c r="B152" s="125" t="s">
        <v>442</v>
      </c>
    </row>
    <row r="153" spans="2:2">
      <c r="B153" s="126"/>
    </row>
    <row r="154" spans="2:2">
      <c r="B154" s="125" t="s">
        <v>443</v>
      </c>
    </row>
    <row r="155" spans="2:2">
      <c r="B155" s="125" t="s">
        <v>444</v>
      </c>
    </row>
    <row r="156" spans="2:2">
      <c r="B156" s="125" t="s">
        <v>445</v>
      </c>
    </row>
    <row r="157" spans="2:2">
      <c r="B157" s="125" t="s">
        <v>446</v>
      </c>
    </row>
    <row r="158" spans="2:2">
      <c r="B158" s="125" t="s">
        <v>447</v>
      </c>
    </row>
    <row r="159" spans="2:2">
      <c r="B159" s="125" t="s">
        <v>448</v>
      </c>
    </row>
    <row r="160" spans="2:2">
      <c r="B160" s="125" t="s">
        <v>449</v>
      </c>
    </row>
    <row r="161" spans="2:2">
      <c r="B161" s="125" t="s">
        <v>450</v>
      </c>
    </row>
    <row r="162" spans="2:2">
      <c r="B162" s="125" t="s">
        <v>451</v>
      </c>
    </row>
    <row r="163" spans="2:2">
      <c r="B163" s="125" t="s">
        <v>452</v>
      </c>
    </row>
    <row r="164" spans="2:2">
      <c r="B164" s="125" t="s">
        <v>453</v>
      </c>
    </row>
    <row r="165" spans="2:2">
      <c r="B165" s="126"/>
    </row>
    <row r="166" spans="2:2">
      <c r="B166" s="125" t="s">
        <v>454</v>
      </c>
    </row>
    <row r="167" spans="2:2">
      <c r="B167" s="125" t="s">
        <v>455</v>
      </c>
    </row>
    <row r="168" spans="2:2">
      <c r="B168" s="125" t="s">
        <v>456</v>
      </c>
    </row>
    <row r="169" spans="2:2">
      <c r="B169" s="125" t="s">
        <v>457</v>
      </c>
    </row>
    <row r="170" spans="2:2">
      <c r="B170" s="125" t="s">
        <v>458</v>
      </c>
    </row>
    <row r="171" spans="2:2">
      <c r="B171" s="125" t="s">
        <v>459</v>
      </c>
    </row>
    <row r="172" spans="2:2">
      <c r="B172" s="125" t="s">
        <v>460</v>
      </c>
    </row>
    <row r="173" spans="2:2">
      <c r="B173" s="125" t="s">
        <v>461</v>
      </c>
    </row>
    <row r="174" spans="2:2">
      <c r="B174" s="125" t="s">
        <v>462</v>
      </c>
    </row>
    <row r="175" spans="2:2">
      <c r="B175" s="125" t="s">
        <v>463</v>
      </c>
    </row>
    <row r="176" spans="2:2">
      <c r="B176" s="126"/>
    </row>
    <row r="177" spans="2:2">
      <c r="B177" s="125" t="s">
        <v>464</v>
      </c>
    </row>
    <row r="178" spans="2:2">
      <c r="B178" s="126"/>
    </row>
    <row r="179" spans="2:2">
      <c r="B179" s="125" t="s">
        <v>465</v>
      </c>
    </row>
    <row r="180" spans="2:2">
      <c r="B180" s="126"/>
    </row>
    <row r="181" spans="2:2">
      <c r="B181" s="125" t="s">
        <v>466</v>
      </c>
    </row>
    <row r="182" spans="2:2">
      <c r="B182" s="125" t="s">
        <v>467</v>
      </c>
    </row>
    <row r="183" spans="2:2">
      <c r="B183" s="125" t="s">
        <v>468</v>
      </c>
    </row>
    <row r="184" spans="2:2">
      <c r="B184" s="125" t="s">
        <v>469</v>
      </c>
    </row>
    <row r="185" spans="2:2">
      <c r="B185" s="125" t="s">
        <v>470</v>
      </c>
    </row>
    <row r="186" spans="2:2">
      <c r="B186" s="125" t="s">
        <v>471</v>
      </c>
    </row>
    <row r="187" spans="2:2">
      <c r="B187" s="125" t="s">
        <v>472</v>
      </c>
    </row>
    <row r="188" spans="2:2">
      <c r="B188" s="125" t="s">
        <v>473</v>
      </c>
    </row>
    <row r="189" spans="2:2">
      <c r="B189" s="126"/>
    </row>
    <row r="190" spans="2:2">
      <c r="B190" s="125" t="s">
        <v>474</v>
      </c>
    </row>
    <row r="191" spans="2:2">
      <c r="B191" s="126"/>
    </row>
    <row r="192" spans="2:2">
      <c r="B192" s="125" t="s">
        <v>475</v>
      </c>
    </row>
    <row r="193" spans="2:2">
      <c r="B193" s="125" t="s">
        <v>476</v>
      </c>
    </row>
    <row r="194" spans="2:2">
      <c r="B194" s="125" t="s">
        <v>477</v>
      </c>
    </row>
    <row r="195" spans="2:2">
      <c r="B195" s="126"/>
    </row>
    <row r="196" spans="2:2">
      <c r="B196" s="125" t="s">
        <v>478</v>
      </c>
    </row>
    <row r="197" spans="2:2">
      <c r="B197" s="126"/>
    </row>
    <row r="198" spans="2:2">
      <c r="B198" s="125" t="s">
        <v>479</v>
      </c>
    </row>
    <row r="199" spans="2:2">
      <c r="B199" s="125" t="s">
        <v>480</v>
      </c>
    </row>
    <row r="200" spans="2:2">
      <c r="B200" s="125" t="s">
        <v>481</v>
      </c>
    </row>
    <row r="201" spans="2:2">
      <c r="B201" s="125" t="s">
        <v>482</v>
      </c>
    </row>
    <row r="202" spans="2:2">
      <c r="B202" s="125" t="s">
        <v>483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32A05-E3D2-424A-9811-85C95FBCCAB1}">
  <sheetPr codeName="Sheet23"/>
  <dimension ref="A1:B19"/>
  <sheetViews>
    <sheetView showGridLines="0" workbookViewId="0">
      <selection activeCell="B6" sqref="B6"/>
    </sheetView>
  </sheetViews>
  <sheetFormatPr defaultRowHeight="14.5"/>
  <cols>
    <col min="1" max="1" width="1.36328125" customWidth="1"/>
  </cols>
  <sheetData>
    <row r="1" spans="1:2">
      <c r="A1" t="str" cm="1">
        <f t="array" aca="1" ref="A1" ca="1">CELL("filename",A1)</f>
        <v>C:\Sync\git_hub\vba_samplicity\[01_magnus_premres.xlsm]Index</v>
      </c>
    </row>
    <row r="2" spans="1:2">
      <c r="A2" s="14" t="s">
        <v>256</v>
      </c>
    </row>
    <row r="3" spans="1:2">
      <c r="A3" s="14" t="s">
        <v>141</v>
      </c>
    </row>
    <row r="5" spans="1:2">
      <c r="B5" s="26" t="s">
        <v>184</v>
      </c>
    </row>
    <row r="6" spans="1:2">
      <c r="B6" s="48" t="s">
        <v>183</v>
      </c>
    </row>
    <row r="10" spans="1:2">
      <c r="B10" s="26" t="s">
        <v>185</v>
      </c>
    </row>
    <row r="11" spans="1:2">
      <c r="B11" s="48" t="s">
        <v>81</v>
      </c>
    </row>
    <row r="14" spans="1:2">
      <c r="B14" s="26" t="s">
        <v>262</v>
      </c>
    </row>
    <row r="15" spans="1:2">
      <c r="B15" s="48" t="s">
        <v>81</v>
      </c>
    </row>
    <row r="18" spans="2:2">
      <c r="B18" s="26" t="s">
        <v>186</v>
      </c>
    </row>
    <row r="19" spans="2:2">
      <c r="B19" s="48" t="s">
        <v>186</v>
      </c>
    </row>
  </sheetData>
  <hyperlinks>
    <hyperlink ref="B6" location="prem_res!A1" display="Premium and Reserve Risk Inputs" xr:uid="{1521B3C1-3AA4-4115-A1EB-DF8CD8219024}"/>
    <hyperlink ref="B11" location="PremRes!A1" display="Premium and Reserve Risk" xr:uid="{18B531B3-376F-4060-BEA6-3DAAFBDAAABC}"/>
    <hyperlink ref="B19" location="metadata!A1" display="Metadata" xr:uid="{9292FDA6-30BC-43F0-A7F8-E06F1E584DF5}"/>
    <hyperlink ref="B15" location="Summary!A1" display="Premium and Reserve Risk" xr:uid="{E040DB68-39FD-40E0-B521-CAB6A5FB7C8D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5985-0FC7-4547-82B5-B6721DC20FFE}">
  <sheetPr codeName="Sheet36"/>
  <dimension ref="A1:B38"/>
  <sheetViews>
    <sheetView showGridLines="0" tabSelected="1" topLeftCell="A16" workbookViewId="0">
      <selection activeCell="B29" sqref="B29"/>
    </sheetView>
  </sheetViews>
  <sheetFormatPr defaultRowHeight="14.5"/>
  <cols>
    <col min="1" max="1" width="1.36328125" customWidth="1"/>
  </cols>
  <sheetData>
    <row r="1" spans="1:2">
      <c r="A1" t="str" cm="1">
        <f t="array" aca="1" ref="A1" ca="1">CELL("filename",A1)</f>
        <v>C:\Sync\git_hub\vba_samplicity\[01_magnus_premres.xlsm]Notes</v>
      </c>
    </row>
    <row r="2" spans="1:2">
      <c r="A2" s="14" t="s">
        <v>256</v>
      </c>
    </row>
    <row r="3" spans="1:2">
      <c r="A3" s="14" t="s">
        <v>305</v>
      </c>
    </row>
    <row r="5" spans="1:2">
      <c r="B5" t="s">
        <v>306</v>
      </c>
    </row>
    <row r="6" spans="1:2">
      <c r="B6" s="38" t="s">
        <v>496</v>
      </c>
    </row>
    <row r="7" spans="1:2">
      <c r="B7" t="s">
        <v>513</v>
      </c>
    </row>
    <row r="9" spans="1:2">
      <c r="B9" s="14" t="s">
        <v>497</v>
      </c>
    </row>
    <row r="10" spans="1:2">
      <c r="B10" t="s">
        <v>514</v>
      </c>
    </row>
    <row r="11" spans="1:2">
      <c r="B11" t="s">
        <v>498</v>
      </c>
    </row>
    <row r="12" spans="1:2">
      <c r="B12" s="26" t="s">
        <v>508</v>
      </c>
    </row>
    <row r="14" spans="1:2">
      <c r="B14" s="14" t="s">
        <v>503</v>
      </c>
    </row>
    <row r="15" spans="1:2">
      <c r="B15" s="145" t="s">
        <v>504</v>
      </c>
    </row>
    <row r="16" spans="1:2">
      <c r="B16" s="38" t="s">
        <v>188</v>
      </c>
    </row>
    <row r="17" spans="2:2">
      <c r="B17" s="146" t="s">
        <v>515</v>
      </c>
    </row>
    <row r="19" spans="2:2">
      <c r="B19" s="14" t="s">
        <v>184</v>
      </c>
    </row>
    <row r="20" spans="2:2">
      <c r="B20" t="s">
        <v>516</v>
      </c>
    </row>
    <row r="21" spans="2:2">
      <c r="B21" t="s">
        <v>517</v>
      </c>
    </row>
    <row r="23" spans="2:2">
      <c r="B23" s="14" t="s">
        <v>185</v>
      </c>
    </row>
    <row r="24" spans="2:2">
      <c r="B24" t="s">
        <v>518</v>
      </c>
    </row>
    <row r="26" spans="2:2">
      <c r="B26" s="14" t="s">
        <v>499</v>
      </c>
    </row>
    <row r="27" spans="2:2">
      <c r="B27" t="s">
        <v>519</v>
      </c>
    </row>
    <row r="28" spans="2:2">
      <c r="B28" t="s">
        <v>520</v>
      </c>
    </row>
    <row r="29" spans="2:2">
      <c r="B29" t="s">
        <v>510</v>
      </c>
    </row>
    <row r="30" spans="2:2">
      <c r="B30" t="s">
        <v>509</v>
      </c>
    </row>
    <row r="32" spans="2:2">
      <c r="B32" s="14" t="s">
        <v>500</v>
      </c>
    </row>
    <row r="33" spans="2:2">
      <c r="B33" t="s">
        <v>511</v>
      </c>
    </row>
    <row r="34" spans="2:2">
      <c r="B34" t="s">
        <v>501</v>
      </c>
    </row>
    <row r="36" spans="2:2">
      <c r="B36" s="14" t="s">
        <v>186</v>
      </c>
    </row>
    <row r="37" spans="2:2">
      <c r="B37" t="s">
        <v>512</v>
      </c>
    </row>
    <row r="38" spans="2:2">
      <c r="B38" t="s">
        <v>502</v>
      </c>
    </row>
  </sheetData>
  <hyperlinks>
    <hyperlink ref="B6" r:id="rId1" xr:uid="{D9ADC99E-9985-4BA7-893A-68B2D5ECC204}"/>
    <hyperlink ref="B16" r:id="rId2" xr:uid="{29431E47-051C-4C7E-B046-7FFD8C63EA2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77BBB-B20A-46D1-A3BB-AA0F3A35AF13}">
  <sheetPr codeName="Sheet24">
    <tabColor rgb="FFFFFFCC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0A7B1-2563-47EB-B19A-83A608000FE2}">
  <sheetPr codeName="Sheet1"/>
  <dimension ref="A1:AE49"/>
  <sheetViews>
    <sheetView topLeftCell="O1" workbookViewId="0">
      <selection activeCell="Y5" sqref="Y5:AA17"/>
    </sheetView>
  </sheetViews>
  <sheetFormatPr defaultRowHeight="14.5"/>
  <cols>
    <col min="1" max="1" width="1.6328125" customWidth="1"/>
    <col min="2" max="2" width="13" customWidth="1"/>
    <col min="3" max="3" width="13.81640625" customWidth="1"/>
    <col min="4" max="4" width="10.26953125" customWidth="1"/>
    <col min="6" max="6" width="13.453125" bestFit="1" customWidth="1"/>
    <col min="7" max="7" width="13.36328125" customWidth="1"/>
    <col min="8" max="8" width="16.08984375" customWidth="1"/>
    <col min="9" max="9" width="17.7265625" customWidth="1"/>
    <col min="10" max="10" width="16.26953125" customWidth="1"/>
    <col min="11" max="12" width="13" customWidth="1"/>
    <col min="13" max="13" width="10.1796875" bestFit="1" customWidth="1"/>
    <col min="14" max="14" width="19.1796875" customWidth="1"/>
    <col min="15" max="15" width="14.36328125" customWidth="1"/>
    <col min="16" max="16" width="16" customWidth="1"/>
    <col min="17" max="17" width="14.453125" customWidth="1"/>
    <col min="18" max="19" width="11.1796875" customWidth="1"/>
    <col min="20" max="20" width="18.54296875" customWidth="1"/>
    <col min="21" max="21" width="15.7265625" customWidth="1"/>
    <col min="22" max="22" width="15.54296875" customWidth="1"/>
    <col min="23" max="23" width="14.1796875" customWidth="1"/>
    <col min="24" max="24" width="8.7265625" customWidth="1"/>
    <col min="25" max="26" width="30.453125" customWidth="1"/>
    <col min="27" max="27" width="19.54296875" customWidth="1"/>
  </cols>
  <sheetData>
    <row r="1" spans="1:31">
      <c r="A1" t="str" cm="1">
        <f t="array" aca="1" ref="A1" ca="1">CELL("filename",A1)</f>
        <v>C:\Sync\git_hub\vba_samplicity\[01_magnus_premres.xlsm]prem_res</v>
      </c>
    </row>
    <row r="2" spans="1:31">
      <c r="A2" s="14" t="s">
        <v>256</v>
      </c>
    </row>
    <row r="3" spans="1:31">
      <c r="A3" s="14" t="s">
        <v>183</v>
      </c>
    </row>
    <row r="5" spans="1:31">
      <c r="B5" s="63" t="s">
        <v>0</v>
      </c>
      <c r="C5" s="64" t="s">
        <v>96</v>
      </c>
      <c r="D5" s="65" t="s">
        <v>1</v>
      </c>
      <c r="E5" s="65" t="s">
        <v>2</v>
      </c>
      <c r="F5" s="65" t="s">
        <v>3</v>
      </c>
      <c r="G5" s="65" t="s">
        <v>4</v>
      </c>
      <c r="H5" s="65" t="s">
        <v>5</v>
      </c>
      <c r="I5" s="65" t="s">
        <v>6</v>
      </c>
      <c r="J5" s="65" t="s">
        <v>7</v>
      </c>
      <c r="K5" s="65" t="s">
        <v>8</v>
      </c>
      <c r="L5" s="65" t="s">
        <v>9</v>
      </c>
      <c r="M5" s="65" t="s">
        <v>10</v>
      </c>
      <c r="N5" s="65" t="s">
        <v>11</v>
      </c>
      <c r="O5" s="65" t="s">
        <v>12</v>
      </c>
      <c r="P5" s="65" t="s">
        <v>13</v>
      </c>
      <c r="Q5" s="65" t="s">
        <v>14</v>
      </c>
      <c r="R5" s="65" t="s">
        <v>15</v>
      </c>
      <c r="S5" s="65" t="s">
        <v>16</v>
      </c>
      <c r="T5" s="65" t="s">
        <v>17</v>
      </c>
      <c r="U5" s="65" t="s">
        <v>181</v>
      </c>
      <c r="V5" s="65" t="s">
        <v>18</v>
      </c>
      <c r="W5" s="66" t="s">
        <v>19</v>
      </c>
      <c r="Y5" s="63" t="s">
        <v>18</v>
      </c>
      <c r="Z5" s="64" t="s">
        <v>36</v>
      </c>
      <c r="AA5" s="85" t="s">
        <v>37</v>
      </c>
    </row>
    <row r="6" spans="1:31">
      <c r="B6" s="59" t="s">
        <v>240</v>
      </c>
      <c r="C6" s="17" t="s">
        <v>244</v>
      </c>
      <c r="D6" s="17" t="s">
        <v>20</v>
      </c>
      <c r="E6" s="17" t="s">
        <v>21</v>
      </c>
      <c r="F6" s="46">
        <v>3608361</v>
      </c>
      <c r="G6" s="46">
        <v>3572277.39</v>
      </c>
      <c r="H6" s="46">
        <v>2100</v>
      </c>
      <c r="I6" s="46">
        <v>5454</v>
      </c>
      <c r="J6" s="46"/>
      <c r="K6" s="46">
        <v>1623762.45</v>
      </c>
      <c r="L6" s="46"/>
      <c r="M6" s="46">
        <v>1804180.5</v>
      </c>
      <c r="N6" s="46">
        <v>1786138.6950000001</v>
      </c>
      <c r="O6" s="46">
        <v>1050</v>
      </c>
      <c r="P6" s="46">
        <v>0</v>
      </c>
      <c r="Q6" s="46">
        <v>0</v>
      </c>
      <c r="R6" s="46">
        <v>811881.22499999998</v>
      </c>
      <c r="S6" s="46"/>
      <c r="T6" s="17" t="s">
        <v>22</v>
      </c>
      <c r="U6" s="17" t="s">
        <v>23</v>
      </c>
      <c r="V6" s="17" t="s">
        <v>24</v>
      </c>
      <c r="W6" s="61" t="s">
        <v>25</v>
      </c>
      <c r="Y6" s="59" t="s">
        <v>24</v>
      </c>
      <c r="Z6" s="17" t="s">
        <v>234</v>
      </c>
      <c r="AA6" s="83">
        <v>0.25</v>
      </c>
    </row>
    <row r="7" spans="1:31">
      <c r="B7" s="60" t="s">
        <v>241</v>
      </c>
      <c r="C7" s="18" t="s">
        <v>245</v>
      </c>
      <c r="D7" s="18" t="s">
        <v>20</v>
      </c>
      <c r="E7" s="18" t="s">
        <v>38</v>
      </c>
      <c r="F7" s="43">
        <v>-3290419</v>
      </c>
      <c r="G7" s="43">
        <v>3027185.48</v>
      </c>
      <c r="H7" s="43">
        <v>2100</v>
      </c>
      <c r="I7" s="43"/>
      <c r="J7" s="43"/>
      <c r="K7" s="43">
        <v>921317.32000000007</v>
      </c>
      <c r="L7" s="43"/>
      <c r="M7" s="43">
        <v>-3290419</v>
      </c>
      <c r="N7" s="43">
        <v>3027185.48</v>
      </c>
      <c r="O7" s="43">
        <v>2100</v>
      </c>
      <c r="P7" s="43">
        <v>0</v>
      </c>
      <c r="Q7" s="43">
        <v>0</v>
      </c>
      <c r="R7" s="43">
        <v>921317.32000000007</v>
      </c>
      <c r="S7" s="43"/>
      <c r="T7" s="18" t="s">
        <v>22</v>
      </c>
      <c r="U7" s="18" t="s">
        <v>23</v>
      </c>
      <c r="V7" s="18"/>
      <c r="W7" s="62" t="s">
        <v>25</v>
      </c>
      <c r="Y7" s="60" t="s">
        <v>24</v>
      </c>
      <c r="Z7" s="18" t="s">
        <v>235</v>
      </c>
      <c r="AA7" s="84">
        <v>0.2</v>
      </c>
      <c r="AE7" t="e" vm="1">
        <f>_xleta.T</f>
        <v>#VALUE!</v>
      </c>
    </row>
    <row r="8" spans="1:31">
      <c r="B8" s="90" t="s">
        <v>242</v>
      </c>
      <c r="C8" s="18" t="s">
        <v>246</v>
      </c>
      <c r="D8" s="18" t="s">
        <v>72</v>
      </c>
      <c r="E8" s="18" t="s">
        <v>39</v>
      </c>
      <c r="F8" s="43">
        <v>3162038</v>
      </c>
      <c r="G8" s="43">
        <v>3509862.18</v>
      </c>
      <c r="H8" s="43">
        <v>2000</v>
      </c>
      <c r="I8" s="43"/>
      <c r="J8" s="43">
        <v>85</v>
      </c>
      <c r="K8" s="43">
        <v>1264815.2000000002</v>
      </c>
      <c r="L8" s="43"/>
      <c r="M8" s="43">
        <v>1581019</v>
      </c>
      <c r="N8" s="43">
        <v>1754931.09</v>
      </c>
      <c r="O8" s="43">
        <v>1000</v>
      </c>
      <c r="P8" s="43">
        <v>0</v>
      </c>
      <c r="Q8" s="43">
        <v>0</v>
      </c>
      <c r="R8" s="43">
        <v>632407.60000000009</v>
      </c>
      <c r="S8" s="43"/>
      <c r="T8" s="18" t="s">
        <v>22</v>
      </c>
      <c r="U8" s="18" t="s">
        <v>23</v>
      </c>
      <c r="V8" s="18" t="s">
        <v>24</v>
      </c>
      <c r="W8" s="62" t="s">
        <v>26</v>
      </c>
      <c r="Y8" s="60" t="s">
        <v>35</v>
      </c>
      <c r="Z8" s="18" t="s">
        <v>235</v>
      </c>
      <c r="AA8" s="84">
        <v>0.05</v>
      </c>
    </row>
    <row r="9" spans="1:31">
      <c r="B9" s="91" t="s">
        <v>240</v>
      </c>
      <c r="C9" s="18" t="s">
        <v>247</v>
      </c>
      <c r="D9" s="18" t="s">
        <v>20</v>
      </c>
      <c r="E9" s="18" t="s">
        <v>40</v>
      </c>
      <c r="F9" s="43">
        <v>4161925</v>
      </c>
      <c r="G9" s="43">
        <v>3995448</v>
      </c>
      <c r="H9" s="43">
        <v>2900</v>
      </c>
      <c r="I9" s="43"/>
      <c r="J9" s="43"/>
      <c r="K9" s="43">
        <v>1623150.75</v>
      </c>
      <c r="L9" s="43"/>
      <c r="M9" s="43">
        <v>3537636.25</v>
      </c>
      <c r="N9" s="43">
        <v>3396130.8</v>
      </c>
      <c r="O9" s="43">
        <v>2465</v>
      </c>
      <c r="P9" s="43">
        <v>0</v>
      </c>
      <c r="Q9" s="43">
        <v>0</v>
      </c>
      <c r="R9" s="43">
        <v>1379678.1375</v>
      </c>
      <c r="S9" s="43"/>
      <c r="T9" s="18" t="s">
        <v>22</v>
      </c>
      <c r="U9" s="18" t="s">
        <v>23</v>
      </c>
      <c r="V9" s="18" t="s">
        <v>35</v>
      </c>
      <c r="W9" s="62" t="s">
        <v>26</v>
      </c>
      <c r="Y9" s="60" t="s">
        <v>35</v>
      </c>
      <c r="Z9" s="18" t="s">
        <v>236</v>
      </c>
      <c r="AA9" s="84">
        <v>0.09</v>
      </c>
    </row>
    <row r="10" spans="1:31">
      <c r="B10" s="91" t="s">
        <v>242</v>
      </c>
      <c r="C10" s="18" t="s">
        <v>248</v>
      </c>
      <c r="D10" s="18" t="s">
        <v>72</v>
      </c>
      <c r="E10" s="18" t="s">
        <v>21</v>
      </c>
      <c r="F10" s="43">
        <v>4503698</v>
      </c>
      <c r="G10" s="43">
        <v>4503698</v>
      </c>
      <c r="H10" s="43">
        <v>2900</v>
      </c>
      <c r="I10" s="43"/>
      <c r="J10" s="43"/>
      <c r="K10" s="43">
        <v>2026664.1</v>
      </c>
      <c r="L10" s="43"/>
      <c r="M10" s="43">
        <v>4503698</v>
      </c>
      <c r="N10" s="43">
        <v>4503698</v>
      </c>
      <c r="O10" s="43">
        <v>2900</v>
      </c>
      <c r="P10" s="43">
        <v>0</v>
      </c>
      <c r="Q10" s="43">
        <v>0</v>
      </c>
      <c r="R10" s="43">
        <v>2026664.1</v>
      </c>
      <c r="S10" s="43"/>
      <c r="T10" s="18" t="s">
        <v>22</v>
      </c>
      <c r="U10" s="18" t="s">
        <v>23</v>
      </c>
      <c r="V10" s="18"/>
      <c r="W10" s="62"/>
      <c r="Y10" s="60" t="s">
        <v>27</v>
      </c>
      <c r="Z10" s="18" t="s">
        <v>237</v>
      </c>
      <c r="AA10" s="84">
        <v>0.95</v>
      </c>
    </row>
    <row r="11" spans="1:31">
      <c r="B11" s="91" t="s">
        <v>243</v>
      </c>
      <c r="C11" s="18" t="s">
        <v>245</v>
      </c>
      <c r="D11" s="18" t="s">
        <v>20</v>
      </c>
      <c r="E11" s="18" t="s">
        <v>42</v>
      </c>
      <c r="F11" s="43">
        <v>2264437</v>
      </c>
      <c r="G11" s="43">
        <v>1947415.82</v>
      </c>
      <c r="H11" s="43">
        <v>3500</v>
      </c>
      <c r="I11" s="43">
        <v>454</v>
      </c>
      <c r="J11" s="43"/>
      <c r="K11" s="43">
        <v>747264.21000000008</v>
      </c>
      <c r="L11" s="43"/>
      <c r="M11" s="43">
        <v>2264437</v>
      </c>
      <c r="N11" s="43">
        <v>1947415.82</v>
      </c>
      <c r="O11" s="43">
        <v>3500</v>
      </c>
      <c r="P11" s="43">
        <v>0</v>
      </c>
      <c r="Q11" s="43">
        <v>0</v>
      </c>
      <c r="R11" s="43">
        <v>747264.21000000008</v>
      </c>
      <c r="S11" s="43"/>
      <c r="T11" s="18" t="s">
        <v>23</v>
      </c>
      <c r="U11" s="18" t="s">
        <v>23</v>
      </c>
      <c r="V11" s="18"/>
      <c r="W11" s="62"/>
      <c r="Y11" s="60" t="s">
        <v>29</v>
      </c>
      <c r="Z11" s="18" t="s">
        <v>234</v>
      </c>
      <c r="AA11" s="84">
        <v>0.95</v>
      </c>
    </row>
    <row r="12" spans="1:31">
      <c r="B12" s="91" t="s">
        <v>242</v>
      </c>
      <c r="C12" s="18" t="s">
        <v>246</v>
      </c>
      <c r="D12" s="18" t="s">
        <v>20</v>
      </c>
      <c r="E12" s="18" t="s">
        <v>43</v>
      </c>
      <c r="F12" s="43">
        <v>3854965</v>
      </c>
      <c r="G12" s="43">
        <v>3893514.65</v>
      </c>
      <c r="H12" s="43">
        <v>2100</v>
      </c>
      <c r="I12" s="43"/>
      <c r="J12" s="43"/>
      <c r="K12" s="43">
        <v>1580535.65</v>
      </c>
      <c r="L12" s="43"/>
      <c r="M12" s="43">
        <v>1927482.5</v>
      </c>
      <c r="N12" s="43">
        <v>1946757.325</v>
      </c>
      <c r="O12" s="43">
        <v>1050</v>
      </c>
      <c r="P12" s="43">
        <v>0</v>
      </c>
      <c r="Q12" s="43">
        <v>0</v>
      </c>
      <c r="R12" s="43">
        <v>790267.82499999995</v>
      </c>
      <c r="S12" s="43"/>
      <c r="T12" s="18" t="s">
        <v>23</v>
      </c>
      <c r="U12" s="18" t="s">
        <v>23</v>
      </c>
      <c r="V12" s="18" t="s">
        <v>24</v>
      </c>
      <c r="W12" s="62"/>
      <c r="Y12" s="60" t="s">
        <v>30</v>
      </c>
      <c r="Z12" s="18" t="s">
        <v>238</v>
      </c>
      <c r="AA12" s="84">
        <v>0.95</v>
      </c>
    </row>
    <row r="13" spans="1:31">
      <c r="B13" s="91" t="s">
        <v>240</v>
      </c>
      <c r="C13" s="18" t="s">
        <v>247</v>
      </c>
      <c r="D13" s="18" t="s">
        <v>72</v>
      </c>
      <c r="E13" s="18" t="s">
        <v>44</v>
      </c>
      <c r="F13" s="43">
        <v>4966421</v>
      </c>
      <c r="G13" s="43">
        <v>5065749.42</v>
      </c>
      <c r="H13" s="43">
        <v>2000</v>
      </c>
      <c r="I13" s="43"/>
      <c r="J13" s="43"/>
      <c r="K13" s="43">
        <v>1440262.0899999999</v>
      </c>
      <c r="L13" s="43"/>
      <c r="M13" s="43">
        <v>4966421</v>
      </c>
      <c r="N13" s="43">
        <v>5065749.42</v>
      </c>
      <c r="O13" s="43">
        <v>2000</v>
      </c>
      <c r="P13" s="43">
        <v>0</v>
      </c>
      <c r="Q13" s="43">
        <v>0</v>
      </c>
      <c r="R13" s="43">
        <v>1440262.0899999999</v>
      </c>
      <c r="S13" s="43"/>
      <c r="T13" s="18" t="s">
        <v>23</v>
      </c>
      <c r="U13" s="18" t="s">
        <v>23</v>
      </c>
      <c r="V13" s="18"/>
      <c r="W13" s="62"/>
      <c r="Y13" s="60" t="s">
        <v>31</v>
      </c>
      <c r="Z13" s="18" t="s">
        <v>235</v>
      </c>
      <c r="AA13" s="84">
        <v>0.95</v>
      </c>
    </row>
    <row r="14" spans="1:31">
      <c r="B14" s="91" t="s">
        <v>242</v>
      </c>
      <c r="C14" s="18" t="s">
        <v>248</v>
      </c>
      <c r="D14" s="18" t="s">
        <v>20</v>
      </c>
      <c r="E14" s="18" t="s">
        <v>45</v>
      </c>
      <c r="F14" s="43">
        <v>1419290</v>
      </c>
      <c r="G14" s="43">
        <v>1263168.1000000001</v>
      </c>
      <c r="H14" s="43">
        <v>2900</v>
      </c>
      <c r="I14" s="43">
        <v>545</v>
      </c>
      <c r="J14" s="43"/>
      <c r="K14" s="43">
        <v>383208.30000000005</v>
      </c>
      <c r="L14" s="43"/>
      <c r="M14" s="43">
        <v>1419290</v>
      </c>
      <c r="N14" s="43">
        <v>1263168.1000000001</v>
      </c>
      <c r="O14" s="43">
        <v>2900</v>
      </c>
      <c r="P14" s="43"/>
      <c r="Q14" s="43"/>
      <c r="R14" s="43">
        <v>383208.30000000005</v>
      </c>
      <c r="S14" s="43"/>
      <c r="T14" s="18" t="s">
        <v>23</v>
      </c>
      <c r="U14" s="18" t="s">
        <v>23</v>
      </c>
      <c r="V14" s="18"/>
      <c r="W14" s="62"/>
      <c r="Y14" s="60" t="s">
        <v>32</v>
      </c>
      <c r="Z14" s="18" t="s">
        <v>235</v>
      </c>
      <c r="AA14" s="84">
        <v>0.95</v>
      </c>
    </row>
    <row r="15" spans="1:31">
      <c r="B15" s="91" t="s">
        <v>240</v>
      </c>
      <c r="C15" s="18" t="s">
        <v>246</v>
      </c>
      <c r="D15" s="18" t="s">
        <v>20</v>
      </c>
      <c r="E15" s="18" t="s">
        <v>46</v>
      </c>
      <c r="F15" s="43">
        <v>1923942</v>
      </c>
      <c r="G15" s="43">
        <v>2212533.2999999998</v>
      </c>
      <c r="H15" s="43">
        <v>2900</v>
      </c>
      <c r="I15" s="43"/>
      <c r="J15" s="43"/>
      <c r="K15" s="43">
        <v>634900.86</v>
      </c>
      <c r="L15" s="43"/>
      <c r="M15" s="43">
        <v>1923942</v>
      </c>
      <c r="N15" s="43">
        <v>2212533.2999999998</v>
      </c>
      <c r="O15" s="43">
        <v>2900</v>
      </c>
      <c r="P15" s="43"/>
      <c r="Q15" s="43"/>
      <c r="R15" s="43">
        <v>634900.86</v>
      </c>
      <c r="S15" s="43"/>
      <c r="T15" s="18" t="s">
        <v>23</v>
      </c>
      <c r="U15" s="18" t="s">
        <v>23</v>
      </c>
      <c r="V15" s="18"/>
      <c r="W15" s="62"/>
      <c r="Y15" s="60" t="s">
        <v>33</v>
      </c>
      <c r="Z15" s="18" t="s">
        <v>236</v>
      </c>
      <c r="AA15" s="84">
        <v>0.95</v>
      </c>
    </row>
    <row r="16" spans="1:31">
      <c r="B16" s="91" t="s">
        <v>241</v>
      </c>
      <c r="C16" s="18" t="s">
        <v>247</v>
      </c>
      <c r="D16" s="18" t="s">
        <v>72</v>
      </c>
      <c r="E16" s="18" t="s">
        <v>47</v>
      </c>
      <c r="F16" s="43">
        <v>4000313</v>
      </c>
      <c r="G16" s="43">
        <v>-3644812</v>
      </c>
      <c r="H16" s="43">
        <v>3500</v>
      </c>
      <c r="I16" s="43"/>
      <c r="J16" s="43"/>
      <c r="K16" s="43">
        <v>1800140.85</v>
      </c>
      <c r="L16" s="43"/>
      <c r="M16" s="43">
        <v>3400266.05</v>
      </c>
      <c r="N16" s="43">
        <v>3060239.4450000003</v>
      </c>
      <c r="O16" s="43">
        <v>2975</v>
      </c>
      <c r="P16" s="43"/>
      <c r="Q16" s="43"/>
      <c r="R16" s="43">
        <v>1530119.7225000001</v>
      </c>
      <c r="S16" s="43"/>
      <c r="T16" s="18" t="s">
        <v>23</v>
      </c>
      <c r="U16" s="18" t="s">
        <v>23</v>
      </c>
      <c r="V16" s="18" t="s">
        <v>35</v>
      </c>
      <c r="W16" s="62"/>
      <c r="Y16" s="60" t="s">
        <v>28</v>
      </c>
      <c r="Z16" s="18" t="s">
        <v>237</v>
      </c>
      <c r="AA16" s="84">
        <v>0.95</v>
      </c>
    </row>
    <row r="17" spans="2:27">
      <c r="B17" s="91" t="s">
        <v>242</v>
      </c>
      <c r="C17" s="18" t="s">
        <v>248</v>
      </c>
      <c r="D17" s="18" t="s">
        <v>20</v>
      </c>
      <c r="E17" s="18" t="s">
        <v>48</v>
      </c>
      <c r="F17" s="43">
        <v>1652831</v>
      </c>
      <c r="G17" s="43">
        <v>1669359.31</v>
      </c>
      <c r="H17" s="43">
        <v>2100</v>
      </c>
      <c r="I17" s="43"/>
      <c r="J17" s="43">
        <v>895</v>
      </c>
      <c r="K17" s="43">
        <v>462792.68000000005</v>
      </c>
      <c r="L17" s="43"/>
      <c r="M17" s="43">
        <v>1652831</v>
      </c>
      <c r="N17" s="43">
        <v>1669359.31</v>
      </c>
      <c r="O17" s="43">
        <v>2100</v>
      </c>
      <c r="P17" s="43"/>
      <c r="Q17" s="43"/>
      <c r="R17" s="43">
        <v>462792.68000000005</v>
      </c>
      <c r="S17" s="43"/>
      <c r="T17" s="18" t="s">
        <v>23</v>
      </c>
      <c r="U17" s="18" t="s">
        <v>23</v>
      </c>
      <c r="V17" s="18"/>
      <c r="W17" s="62"/>
      <c r="Y17" s="67" t="s">
        <v>34</v>
      </c>
      <c r="Z17" s="68" t="s">
        <v>239</v>
      </c>
      <c r="AA17" s="86">
        <v>0.95</v>
      </c>
    </row>
    <row r="18" spans="2:27">
      <c r="B18" s="91" t="s">
        <v>240</v>
      </c>
      <c r="C18" s="18" t="s">
        <v>249</v>
      </c>
      <c r="D18" s="18" t="s">
        <v>20</v>
      </c>
      <c r="E18" s="18" t="s">
        <v>49</v>
      </c>
      <c r="F18" s="43">
        <v>4988704</v>
      </c>
      <c r="G18" s="43">
        <v>5188252.16</v>
      </c>
      <c r="H18" s="43">
        <v>2900</v>
      </c>
      <c r="I18" s="43"/>
      <c r="J18" s="43"/>
      <c r="K18" s="43">
        <v>2195029.7600000002</v>
      </c>
      <c r="L18" s="43"/>
      <c r="M18" s="43">
        <v>4988704</v>
      </c>
      <c r="N18" s="43">
        <v>5188252.16</v>
      </c>
      <c r="O18" s="43">
        <v>2900</v>
      </c>
      <c r="P18" s="43"/>
      <c r="Q18" s="43"/>
      <c r="R18" s="43">
        <v>2195029.7600000002</v>
      </c>
      <c r="S18" s="43"/>
      <c r="T18" s="18" t="s">
        <v>23</v>
      </c>
      <c r="U18" s="18" t="s">
        <v>23</v>
      </c>
      <c r="V18" s="18"/>
      <c r="W18" s="62"/>
    </row>
    <row r="19" spans="2:27">
      <c r="B19" s="91" t="s">
        <v>240</v>
      </c>
      <c r="C19" s="18" t="s">
        <v>250</v>
      </c>
      <c r="D19" s="18" t="s">
        <v>20</v>
      </c>
      <c r="E19" s="18" t="s">
        <v>50</v>
      </c>
      <c r="F19" s="43">
        <v>2834586</v>
      </c>
      <c r="G19" s="43">
        <v>2749548.42</v>
      </c>
      <c r="H19" s="43">
        <v>2900</v>
      </c>
      <c r="I19" s="43"/>
      <c r="J19" s="43"/>
      <c r="K19" s="43">
        <v>1218871.98</v>
      </c>
      <c r="L19" s="43"/>
      <c r="M19" s="43">
        <v>1417293</v>
      </c>
      <c r="N19" s="43">
        <v>1374774.21</v>
      </c>
      <c r="O19" s="43">
        <v>1450</v>
      </c>
      <c r="P19" s="43"/>
      <c r="Q19" s="43"/>
      <c r="R19" s="43">
        <v>609435.99</v>
      </c>
      <c r="S19" s="43"/>
      <c r="T19" s="18" t="s">
        <v>23</v>
      </c>
      <c r="U19" s="18" t="s">
        <v>23</v>
      </c>
      <c r="V19" s="18" t="s">
        <v>24</v>
      </c>
      <c r="W19" s="62"/>
    </row>
    <row r="20" spans="2:27">
      <c r="B20" s="91" t="s">
        <v>241</v>
      </c>
      <c r="C20" s="18" t="s">
        <v>251</v>
      </c>
      <c r="D20" s="18" t="s">
        <v>20</v>
      </c>
      <c r="E20" s="18" t="s">
        <v>51</v>
      </c>
      <c r="F20" s="43">
        <v>2687528</v>
      </c>
      <c r="G20" s="43">
        <v>2741278.56</v>
      </c>
      <c r="H20" s="43">
        <v>3500</v>
      </c>
      <c r="I20" s="43"/>
      <c r="J20" s="43"/>
      <c r="K20" s="43">
        <v>940634.79999999993</v>
      </c>
      <c r="L20" s="43"/>
      <c r="M20" s="43">
        <v>2687528</v>
      </c>
      <c r="N20" s="43">
        <v>2741278.56</v>
      </c>
      <c r="O20" s="43">
        <v>3500</v>
      </c>
      <c r="P20" s="43"/>
      <c r="Q20" s="43"/>
      <c r="R20" s="43">
        <v>940634.79999999993</v>
      </c>
      <c r="S20" s="43"/>
      <c r="T20" s="18" t="s">
        <v>23</v>
      </c>
      <c r="U20" s="18" t="s">
        <v>23</v>
      </c>
      <c r="V20" s="18"/>
      <c r="W20" s="62"/>
    </row>
    <row r="21" spans="2:27">
      <c r="B21" s="91" t="s">
        <v>242</v>
      </c>
      <c r="C21" s="18" t="s">
        <v>249</v>
      </c>
      <c r="D21" s="18" t="s">
        <v>72</v>
      </c>
      <c r="E21" s="18" t="s">
        <v>52</v>
      </c>
      <c r="F21" s="43">
        <v>-3598</v>
      </c>
      <c r="G21" s="43">
        <v>3054866.44</v>
      </c>
      <c r="H21" s="43">
        <v>2100</v>
      </c>
      <c r="I21" s="43">
        <v>-4587</v>
      </c>
      <c r="J21" s="43"/>
      <c r="K21" s="43">
        <v>896536.89</v>
      </c>
      <c r="L21" s="43"/>
      <c r="M21" s="43">
        <v>3320507</v>
      </c>
      <c r="N21" s="43">
        <v>3054866.44</v>
      </c>
      <c r="O21" s="43">
        <v>2100</v>
      </c>
      <c r="P21" s="43"/>
      <c r="Q21" s="43"/>
      <c r="R21" s="43">
        <v>896536.89</v>
      </c>
      <c r="S21" s="43"/>
      <c r="T21" s="18" t="s">
        <v>23</v>
      </c>
      <c r="U21" s="18" t="s">
        <v>23</v>
      </c>
      <c r="V21" s="18"/>
      <c r="W21" s="62"/>
    </row>
    <row r="22" spans="2:27">
      <c r="B22" s="91" t="s">
        <v>240</v>
      </c>
      <c r="C22" s="18" t="s">
        <v>250</v>
      </c>
      <c r="D22" s="18" t="s">
        <v>20</v>
      </c>
      <c r="E22" s="18" t="s">
        <v>53</v>
      </c>
      <c r="F22" s="43">
        <v>4552967</v>
      </c>
      <c r="G22" s="43">
        <v>5008263.7</v>
      </c>
      <c r="H22" s="43">
        <v>2000</v>
      </c>
      <c r="I22" s="43"/>
      <c r="J22" s="43"/>
      <c r="K22" s="43">
        <v>1320360.43</v>
      </c>
      <c r="L22" s="43"/>
      <c r="M22" s="43">
        <v>4552967</v>
      </c>
      <c r="N22" s="43">
        <v>5008263.7</v>
      </c>
      <c r="O22" s="43">
        <v>2000</v>
      </c>
      <c r="P22" s="43"/>
      <c r="Q22" s="43"/>
      <c r="R22" s="43">
        <v>1320360.43</v>
      </c>
      <c r="S22" s="43"/>
      <c r="T22" s="18" t="s">
        <v>23</v>
      </c>
      <c r="U22" s="18" t="s">
        <v>23</v>
      </c>
      <c r="V22" s="18"/>
      <c r="W22" s="62"/>
    </row>
    <row r="23" spans="2:27">
      <c r="B23" s="91" t="s">
        <v>242</v>
      </c>
      <c r="C23" s="18" t="s">
        <v>251</v>
      </c>
      <c r="D23" s="18" t="s">
        <v>20</v>
      </c>
      <c r="E23" s="18" t="s">
        <v>73</v>
      </c>
      <c r="F23" s="43">
        <v>2853066</v>
      </c>
      <c r="G23" s="43">
        <v>2710412.6999999997</v>
      </c>
      <c r="H23" s="43">
        <v>2900</v>
      </c>
      <c r="I23" s="43"/>
      <c r="J23" s="43"/>
      <c r="K23" s="43">
        <v>970042.44000000006</v>
      </c>
      <c r="L23" s="43"/>
      <c r="M23" s="43">
        <v>2425106.1</v>
      </c>
      <c r="N23" s="43">
        <v>2303850.7949999999</v>
      </c>
      <c r="O23" s="43">
        <v>2465</v>
      </c>
      <c r="P23" s="43"/>
      <c r="Q23" s="43"/>
      <c r="R23" s="43">
        <v>824536.07400000002</v>
      </c>
      <c r="S23" s="43"/>
      <c r="T23" s="18" t="s">
        <v>23</v>
      </c>
      <c r="U23" s="18" t="s">
        <v>23</v>
      </c>
      <c r="V23" s="18" t="s">
        <v>35</v>
      </c>
      <c r="W23" s="62"/>
    </row>
    <row r="24" spans="2:27">
      <c r="B24" s="91" t="s">
        <v>240</v>
      </c>
      <c r="C24" s="18" t="s">
        <v>246</v>
      </c>
      <c r="D24" s="18" t="s">
        <v>72</v>
      </c>
      <c r="E24" s="18" t="s">
        <v>54</v>
      </c>
      <c r="F24" s="43">
        <v>1392662</v>
      </c>
      <c r="G24" s="43">
        <v>1309102.28</v>
      </c>
      <c r="H24" s="43">
        <v>2900</v>
      </c>
      <c r="I24" s="43"/>
      <c r="J24" s="43"/>
      <c r="K24" s="43">
        <v>431725.22</v>
      </c>
      <c r="L24" s="43"/>
      <c r="M24" s="43">
        <v>1392662</v>
      </c>
      <c r="N24" s="43">
        <v>1309102.28</v>
      </c>
      <c r="O24" s="43">
        <v>2900</v>
      </c>
      <c r="P24" s="43"/>
      <c r="Q24" s="43"/>
      <c r="R24" s="43">
        <v>431725.22</v>
      </c>
      <c r="S24" s="43"/>
      <c r="T24" s="18" t="s">
        <v>23</v>
      </c>
      <c r="U24" s="18" t="s">
        <v>23</v>
      </c>
      <c r="V24" s="18"/>
      <c r="W24" s="62"/>
    </row>
    <row r="25" spans="2:27">
      <c r="B25" s="91" t="s">
        <v>241</v>
      </c>
      <c r="C25" s="18" t="s">
        <v>248</v>
      </c>
      <c r="D25" s="18" t="s">
        <v>20</v>
      </c>
      <c r="E25" s="18" t="s">
        <v>55</v>
      </c>
      <c r="F25" s="43">
        <v>4508123</v>
      </c>
      <c r="G25" s="43">
        <v>5094178.9899999993</v>
      </c>
      <c r="H25" s="43">
        <v>3500</v>
      </c>
      <c r="I25" s="43"/>
      <c r="J25" s="43"/>
      <c r="K25" s="43">
        <v>1758167.97</v>
      </c>
      <c r="L25" s="43"/>
      <c r="M25" s="43">
        <v>2254061.5</v>
      </c>
      <c r="N25" s="43">
        <v>2547089.4949999996</v>
      </c>
      <c r="O25" s="43">
        <v>1750</v>
      </c>
      <c r="P25" s="43"/>
      <c r="Q25" s="43"/>
      <c r="R25" s="43">
        <v>879083.98499999999</v>
      </c>
      <c r="S25" s="43"/>
      <c r="T25" s="18" t="s">
        <v>23</v>
      </c>
      <c r="U25" s="18" t="s">
        <v>23</v>
      </c>
      <c r="V25" s="18" t="s">
        <v>24</v>
      </c>
      <c r="W25" s="62"/>
    </row>
    <row r="26" spans="2:27">
      <c r="B26" s="91" t="s">
        <v>242</v>
      </c>
      <c r="C26" s="18" t="s">
        <v>246</v>
      </c>
      <c r="D26" s="18" t="s">
        <v>20</v>
      </c>
      <c r="E26" s="18" t="s">
        <v>56</v>
      </c>
      <c r="F26" s="43">
        <v>-25189</v>
      </c>
      <c r="G26" s="43">
        <v>-12058941</v>
      </c>
      <c r="H26" s="43">
        <v>2100</v>
      </c>
      <c r="I26" s="43">
        <v>59321</v>
      </c>
      <c r="J26" s="43">
        <v>45236</v>
      </c>
      <c r="K26" s="43">
        <v>855570.69000000006</v>
      </c>
      <c r="L26" s="43"/>
      <c r="M26" s="43">
        <v>2193771</v>
      </c>
      <c r="N26" s="43">
        <v>2084082.45</v>
      </c>
      <c r="O26" s="43">
        <v>2100</v>
      </c>
      <c r="P26" s="43"/>
      <c r="Q26" s="43"/>
      <c r="R26" s="43">
        <v>855570.69000000006</v>
      </c>
      <c r="S26" s="43"/>
      <c r="T26" s="18" t="s">
        <v>23</v>
      </c>
      <c r="U26" s="18" t="s">
        <v>23</v>
      </c>
      <c r="V26" s="18"/>
      <c r="W26" s="62"/>
    </row>
    <row r="27" spans="2:27">
      <c r="B27" s="91" t="s">
        <v>240</v>
      </c>
      <c r="C27" s="18" t="s">
        <v>247</v>
      </c>
      <c r="D27" s="18" t="s">
        <v>20</v>
      </c>
      <c r="E27" s="18" t="s">
        <v>57</v>
      </c>
      <c r="F27" s="43">
        <v>3224030</v>
      </c>
      <c r="G27" s="43">
        <v>3546433.0000000005</v>
      </c>
      <c r="H27" s="43">
        <v>2900</v>
      </c>
      <c r="I27" s="43"/>
      <c r="J27" s="43"/>
      <c r="K27" s="43">
        <v>1096170.2000000002</v>
      </c>
      <c r="L27" s="43"/>
      <c r="M27" s="43">
        <v>3224030</v>
      </c>
      <c r="N27" s="43">
        <v>3546433.0000000005</v>
      </c>
      <c r="O27" s="43">
        <v>2900</v>
      </c>
      <c r="P27" s="43"/>
      <c r="Q27" s="43"/>
      <c r="R27" s="43">
        <v>1096170.2000000002</v>
      </c>
      <c r="S27" s="43"/>
      <c r="T27" s="18" t="s">
        <v>23</v>
      </c>
      <c r="U27" s="18" t="s">
        <v>23</v>
      </c>
      <c r="V27" s="18"/>
      <c r="W27" s="62"/>
    </row>
    <row r="28" spans="2:27">
      <c r="B28" s="91" t="s">
        <v>240</v>
      </c>
      <c r="C28" s="18" t="s">
        <v>248</v>
      </c>
      <c r="D28" s="18" t="s">
        <v>20</v>
      </c>
      <c r="E28" s="18" t="s">
        <v>58</v>
      </c>
      <c r="F28" s="43">
        <v>1179993</v>
      </c>
      <c r="G28" s="43">
        <v>1262592.51</v>
      </c>
      <c r="H28" s="43">
        <v>2900</v>
      </c>
      <c r="I28" s="43"/>
      <c r="J28" s="43"/>
      <c r="K28" s="43">
        <v>401197.62000000005</v>
      </c>
      <c r="L28" s="43"/>
      <c r="M28" s="43">
        <v>1179993</v>
      </c>
      <c r="N28" s="43">
        <v>1262592.51</v>
      </c>
      <c r="O28" s="43">
        <v>2900</v>
      </c>
      <c r="P28" s="43"/>
      <c r="Q28" s="43"/>
      <c r="R28" s="43">
        <v>401197.62000000005</v>
      </c>
      <c r="S28" s="43"/>
      <c r="T28" s="18" t="s">
        <v>23</v>
      </c>
      <c r="U28" s="18" t="s">
        <v>23</v>
      </c>
      <c r="V28" s="18"/>
      <c r="W28" s="62"/>
    </row>
    <row r="29" spans="2:27">
      <c r="B29" s="91" t="s">
        <v>241</v>
      </c>
      <c r="C29" s="18" t="s">
        <v>249</v>
      </c>
      <c r="D29" s="18" t="s">
        <v>72</v>
      </c>
      <c r="E29" s="18" t="s">
        <v>59</v>
      </c>
      <c r="F29" s="43">
        <v>3338845</v>
      </c>
      <c r="G29" s="43">
        <v>3105125.85</v>
      </c>
      <c r="H29" s="43">
        <v>3500</v>
      </c>
      <c r="I29" s="43"/>
      <c r="J29" s="43"/>
      <c r="K29" s="43">
        <v>901488.15</v>
      </c>
      <c r="L29" s="43"/>
      <c r="M29" s="43">
        <v>1669422.5</v>
      </c>
      <c r="N29" s="43">
        <v>1552562.925</v>
      </c>
      <c r="O29" s="43">
        <v>1750</v>
      </c>
      <c r="P29" s="43"/>
      <c r="Q29" s="43"/>
      <c r="R29" s="43">
        <v>450744.07500000001</v>
      </c>
      <c r="S29" s="43"/>
      <c r="T29" s="18" t="s">
        <v>23</v>
      </c>
      <c r="U29" s="18" t="s">
        <v>23</v>
      </c>
      <c r="V29" s="18" t="s">
        <v>24</v>
      </c>
      <c r="W29" s="62"/>
    </row>
    <row r="30" spans="2:27">
      <c r="B30" s="91" t="s">
        <v>242</v>
      </c>
      <c r="C30" s="18" t="s">
        <v>250</v>
      </c>
      <c r="D30" s="18" t="s">
        <v>20</v>
      </c>
      <c r="E30" s="18" t="s">
        <v>60</v>
      </c>
      <c r="F30" s="43">
        <v>1129942</v>
      </c>
      <c r="G30" s="43">
        <v>1152540.8400000001</v>
      </c>
      <c r="H30" s="43">
        <v>2900</v>
      </c>
      <c r="I30" s="43"/>
      <c r="J30" s="43"/>
      <c r="K30" s="43">
        <v>406779.12</v>
      </c>
      <c r="L30" s="43"/>
      <c r="M30" s="43">
        <v>1129942</v>
      </c>
      <c r="N30" s="43">
        <v>1152540.8400000001</v>
      </c>
      <c r="O30" s="43">
        <v>2900</v>
      </c>
      <c r="P30" s="43"/>
      <c r="Q30" s="43"/>
      <c r="R30" s="43">
        <v>406779.12</v>
      </c>
      <c r="S30" s="43"/>
      <c r="T30" s="18" t="s">
        <v>23</v>
      </c>
      <c r="U30" s="18" t="s">
        <v>23</v>
      </c>
      <c r="V30" s="18"/>
      <c r="W30" s="62"/>
    </row>
    <row r="31" spans="2:27">
      <c r="B31" s="91" t="s">
        <v>240</v>
      </c>
      <c r="C31" s="18" t="s">
        <v>251</v>
      </c>
      <c r="D31" s="18" t="s">
        <v>79</v>
      </c>
      <c r="E31" s="18" t="s">
        <v>74</v>
      </c>
      <c r="F31" s="43">
        <v>1759529</v>
      </c>
      <c r="G31" s="43">
        <v>1548385.52</v>
      </c>
      <c r="H31" s="43">
        <v>2900</v>
      </c>
      <c r="I31" s="43"/>
      <c r="J31" s="43"/>
      <c r="K31" s="43">
        <v>721406.89</v>
      </c>
      <c r="L31" s="43"/>
      <c r="M31" s="43">
        <v>1495599.65</v>
      </c>
      <c r="N31" s="43">
        <v>1316127.692</v>
      </c>
      <c r="O31" s="43">
        <v>2465</v>
      </c>
      <c r="P31" s="43"/>
      <c r="Q31" s="43"/>
      <c r="R31" s="43">
        <v>613195.85649999999</v>
      </c>
      <c r="S31" s="43"/>
      <c r="T31" s="18" t="s">
        <v>23</v>
      </c>
      <c r="U31" s="18" t="s">
        <v>22</v>
      </c>
      <c r="V31" s="18" t="s">
        <v>35</v>
      </c>
      <c r="W31" s="62" t="s">
        <v>25</v>
      </c>
    </row>
    <row r="32" spans="2:27">
      <c r="B32" s="91" t="s">
        <v>240</v>
      </c>
      <c r="C32" s="18" t="s">
        <v>249</v>
      </c>
      <c r="D32" s="18" t="s">
        <v>79</v>
      </c>
      <c r="E32" s="18" t="s">
        <v>75</v>
      </c>
      <c r="F32" s="43">
        <v>1890951</v>
      </c>
      <c r="G32" s="43">
        <v>1947679.53</v>
      </c>
      <c r="H32" s="43">
        <v>3500</v>
      </c>
      <c r="I32" s="43"/>
      <c r="J32" s="43"/>
      <c r="K32" s="43">
        <v>794199.41999999993</v>
      </c>
      <c r="L32" s="43"/>
      <c r="M32" s="43">
        <v>1890951</v>
      </c>
      <c r="N32" s="43">
        <v>1947679.53</v>
      </c>
      <c r="O32" s="43">
        <v>3500</v>
      </c>
      <c r="P32" s="43"/>
      <c r="Q32" s="43"/>
      <c r="R32" s="43">
        <v>794199.41999999993</v>
      </c>
      <c r="S32" s="43"/>
      <c r="T32" s="18" t="s">
        <v>23</v>
      </c>
      <c r="U32" s="18" t="s">
        <v>22</v>
      </c>
      <c r="V32" s="18"/>
      <c r="W32" s="62"/>
    </row>
    <row r="33" spans="2:23">
      <c r="B33" s="91" t="s">
        <v>241</v>
      </c>
      <c r="C33" s="18" t="s">
        <v>248</v>
      </c>
      <c r="D33" s="18" t="s">
        <v>20</v>
      </c>
      <c r="E33" s="18" t="s">
        <v>76</v>
      </c>
      <c r="F33" s="43">
        <v>2676194</v>
      </c>
      <c r="G33" s="43">
        <v>2917051.4600000004</v>
      </c>
      <c r="H33" s="43">
        <v>2100</v>
      </c>
      <c r="I33" s="43"/>
      <c r="J33" s="43"/>
      <c r="K33" s="43">
        <v>1043715.66</v>
      </c>
      <c r="L33" s="43"/>
      <c r="M33" s="43">
        <v>1338097</v>
      </c>
      <c r="N33" s="43">
        <v>1458525.7300000002</v>
      </c>
      <c r="O33" s="43">
        <v>1050</v>
      </c>
      <c r="P33" s="43"/>
      <c r="Q33" s="43"/>
      <c r="R33" s="43">
        <v>521857.83</v>
      </c>
      <c r="S33" s="43"/>
      <c r="T33" s="18" t="s">
        <v>23</v>
      </c>
      <c r="U33" s="18" t="s">
        <v>23</v>
      </c>
      <c r="V33" s="18" t="s">
        <v>24</v>
      </c>
      <c r="W33" s="62"/>
    </row>
    <row r="34" spans="2:23">
      <c r="B34" s="91" t="s">
        <v>242</v>
      </c>
      <c r="C34" s="18" t="s">
        <v>249</v>
      </c>
      <c r="D34" s="18" t="s">
        <v>20</v>
      </c>
      <c r="E34" s="18" t="s">
        <v>77</v>
      </c>
      <c r="F34" s="43">
        <v>2965011</v>
      </c>
      <c r="G34" s="43">
        <v>2638859.79</v>
      </c>
      <c r="H34" s="43">
        <v>2000</v>
      </c>
      <c r="I34" s="43"/>
      <c r="J34" s="43"/>
      <c r="K34" s="43">
        <v>1037753.85</v>
      </c>
      <c r="L34" s="43"/>
      <c r="M34" s="43">
        <v>2965011</v>
      </c>
      <c r="N34" s="43">
        <v>2638859.79</v>
      </c>
      <c r="O34" s="43">
        <v>2000</v>
      </c>
      <c r="P34" s="43"/>
      <c r="Q34" s="43"/>
      <c r="R34" s="43">
        <v>1037753.85</v>
      </c>
      <c r="S34" s="43"/>
      <c r="T34" s="18" t="s">
        <v>23</v>
      </c>
      <c r="U34" s="18" t="s">
        <v>23</v>
      </c>
      <c r="V34" s="18"/>
      <c r="W34" s="62"/>
    </row>
    <row r="35" spans="2:23">
      <c r="B35" s="91" t="s">
        <v>240</v>
      </c>
      <c r="C35" s="18" t="s">
        <v>250</v>
      </c>
      <c r="D35" s="18" t="s">
        <v>20</v>
      </c>
      <c r="E35" s="18" t="s">
        <v>78</v>
      </c>
      <c r="F35" s="43">
        <v>3483517</v>
      </c>
      <c r="G35" s="43">
        <v>3448681.83</v>
      </c>
      <c r="H35" s="43">
        <v>2100</v>
      </c>
      <c r="I35" s="43"/>
      <c r="J35" s="43"/>
      <c r="K35" s="43">
        <v>1184395.78</v>
      </c>
      <c r="L35" s="43"/>
      <c r="M35" s="43">
        <v>2960989.4499999997</v>
      </c>
      <c r="N35" s="43">
        <v>2931379.5554999998</v>
      </c>
      <c r="O35" s="43">
        <v>1785</v>
      </c>
      <c r="P35" s="43"/>
      <c r="Q35" s="43"/>
      <c r="R35" s="43">
        <v>1006736.4129999999</v>
      </c>
      <c r="S35" s="43"/>
      <c r="T35" s="18" t="s">
        <v>23</v>
      </c>
      <c r="U35" s="18" t="s">
        <v>23</v>
      </c>
      <c r="V35" s="18" t="s">
        <v>35</v>
      </c>
      <c r="W35" s="62"/>
    </row>
    <row r="36" spans="2:23">
      <c r="B36" s="91" t="s">
        <v>242</v>
      </c>
      <c r="C36" s="18" t="s">
        <v>251</v>
      </c>
      <c r="D36" s="18" t="s">
        <v>20</v>
      </c>
      <c r="E36" s="18" t="s">
        <v>61</v>
      </c>
      <c r="F36" s="43">
        <v>1419003</v>
      </c>
      <c r="G36" s="43">
        <v>1461573.09</v>
      </c>
      <c r="H36" s="43">
        <v>2900</v>
      </c>
      <c r="I36" s="43"/>
      <c r="J36" s="43"/>
      <c r="K36" s="43">
        <v>624361.31999999995</v>
      </c>
      <c r="L36" s="43"/>
      <c r="M36" s="43">
        <v>1419003</v>
      </c>
      <c r="N36" s="43">
        <v>1461573.09</v>
      </c>
      <c r="O36" s="43">
        <v>2900</v>
      </c>
      <c r="P36" s="43"/>
      <c r="Q36" s="43"/>
      <c r="R36" s="43">
        <v>624361.31999999995</v>
      </c>
      <c r="S36" s="43"/>
      <c r="T36" s="18" t="s">
        <v>23</v>
      </c>
      <c r="U36" s="18" t="s">
        <v>23</v>
      </c>
      <c r="V36" s="18"/>
      <c r="W36" s="62"/>
    </row>
    <row r="37" spans="2:23">
      <c r="B37" s="91" t="s">
        <v>240</v>
      </c>
      <c r="C37" s="18" t="s">
        <v>248</v>
      </c>
      <c r="D37" s="18" t="s">
        <v>507</v>
      </c>
      <c r="E37" s="18" t="s">
        <v>62</v>
      </c>
      <c r="F37" s="43">
        <v>3781747</v>
      </c>
      <c r="G37" s="43">
        <v>4159921.7</v>
      </c>
      <c r="H37" s="43">
        <v>2900</v>
      </c>
      <c r="I37" s="43"/>
      <c r="J37" s="43"/>
      <c r="K37" s="43">
        <v>1172341.57</v>
      </c>
      <c r="L37" s="43"/>
      <c r="M37" s="43">
        <v>3781747</v>
      </c>
      <c r="N37" s="43">
        <v>4159921.7</v>
      </c>
      <c r="O37" s="43">
        <v>2900</v>
      </c>
      <c r="P37" s="43"/>
      <c r="Q37" s="43"/>
      <c r="R37" s="43">
        <v>1172341.57</v>
      </c>
      <c r="S37" s="43"/>
      <c r="T37" s="18" t="s">
        <v>23</v>
      </c>
      <c r="U37" s="18" t="s">
        <v>23</v>
      </c>
      <c r="V37" s="18"/>
      <c r="W37" s="62"/>
    </row>
    <row r="38" spans="2:23">
      <c r="B38" s="60" t="s">
        <v>242</v>
      </c>
      <c r="C38" s="18" t="s">
        <v>246</v>
      </c>
      <c r="D38" s="18" t="s">
        <v>79</v>
      </c>
      <c r="E38" s="18" t="s">
        <v>63</v>
      </c>
      <c r="F38" s="43">
        <v>3328489</v>
      </c>
      <c r="G38" s="43">
        <v>3395058.7800000003</v>
      </c>
      <c r="H38" s="43">
        <v>3500</v>
      </c>
      <c r="I38" s="43"/>
      <c r="J38" s="43"/>
      <c r="K38" s="43">
        <v>1231540.93</v>
      </c>
      <c r="L38" s="43"/>
      <c r="M38" s="43">
        <v>2829215.65</v>
      </c>
      <c r="N38" s="43">
        <v>2885799.963</v>
      </c>
      <c r="O38" s="43">
        <v>2975</v>
      </c>
      <c r="P38" s="43"/>
      <c r="Q38" s="43"/>
      <c r="R38" s="43">
        <v>1046809.7904999999</v>
      </c>
      <c r="S38" s="43"/>
      <c r="T38" s="18" t="s">
        <v>23</v>
      </c>
      <c r="U38" s="18" t="s">
        <v>22</v>
      </c>
      <c r="V38" s="18" t="s">
        <v>35</v>
      </c>
      <c r="W38" s="62" t="s">
        <v>26</v>
      </c>
    </row>
    <row r="39" spans="2:23">
      <c r="B39" s="60" t="s">
        <v>240</v>
      </c>
      <c r="C39" s="18" t="s">
        <v>247</v>
      </c>
      <c r="D39" s="18" t="s">
        <v>80</v>
      </c>
      <c r="E39" s="18" t="s">
        <v>64</v>
      </c>
      <c r="F39" s="43">
        <v>2324524</v>
      </c>
      <c r="G39" s="43">
        <v>2115316.84</v>
      </c>
      <c r="H39" s="43">
        <v>2900</v>
      </c>
      <c r="I39" s="43"/>
      <c r="J39" s="43"/>
      <c r="K39" s="43">
        <v>650866.72000000009</v>
      </c>
      <c r="L39" s="43"/>
      <c r="M39" s="43">
        <v>2324524</v>
      </c>
      <c r="N39" s="43">
        <v>2115316.84</v>
      </c>
      <c r="O39" s="43">
        <v>2900</v>
      </c>
      <c r="P39" s="43"/>
      <c r="Q39" s="43"/>
      <c r="R39" s="43">
        <v>650866.72000000009</v>
      </c>
      <c r="S39" s="43"/>
      <c r="T39" s="18" t="s">
        <v>23</v>
      </c>
      <c r="U39" s="18" t="s">
        <v>23</v>
      </c>
      <c r="V39" s="18"/>
      <c r="W39" s="62"/>
    </row>
    <row r="40" spans="2:23">
      <c r="B40" s="60" t="s">
        <v>240</v>
      </c>
      <c r="C40" s="18" t="s">
        <v>244</v>
      </c>
      <c r="D40" s="18" t="s">
        <v>72</v>
      </c>
      <c r="E40" s="18" t="s">
        <v>65</v>
      </c>
      <c r="F40" s="43">
        <v>3529986</v>
      </c>
      <c r="G40" s="43">
        <v>3459386.28</v>
      </c>
      <c r="H40" s="43">
        <v>2900</v>
      </c>
      <c r="I40" s="43"/>
      <c r="J40" s="43"/>
      <c r="K40" s="43">
        <v>1306094.82</v>
      </c>
      <c r="L40" s="43"/>
      <c r="M40" s="43">
        <v>1764993</v>
      </c>
      <c r="N40" s="43">
        <v>1729693.14</v>
      </c>
      <c r="O40" s="43">
        <v>1450</v>
      </c>
      <c r="P40" s="43"/>
      <c r="Q40" s="43"/>
      <c r="R40" s="43">
        <v>653047.41</v>
      </c>
      <c r="S40" s="43"/>
      <c r="T40" s="18" t="s">
        <v>23</v>
      </c>
      <c r="U40" s="18" t="s">
        <v>23</v>
      </c>
      <c r="V40" s="18" t="s">
        <v>24</v>
      </c>
      <c r="W40" s="62"/>
    </row>
    <row r="41" spans="2:23">
      <c r="B41" s="60"/>
      <c r="C41" s="18"/>
      <c r="D41" s="18"/>
      <c r="E41" s="18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18"/>
      <c r="U41" s="18"/>
      <c r="V41" s="18"/>
      <c r="W41" s="62"/>
    </row>
    <row r="42" spans="2:23">
      <c r="B42" s="60"/>
      <c r="C42" s="18"/>
      <c r="D42" s="18"/>
      <c r="E42" s="18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18"/>
      <c r="U42" s="18"/>
      <c r="V42" s="18"/>
      <c r="W42" s="62"/>
    </row>
    <row r="43" spans="2:23">
      <c r="B43" s="60"/>
      <c r="C43" s="18"/>
      <c r="D43" s="18"/>
      <c r="E43" s="18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18"/>
      <c r="U43" s="18"/>
      <c r="V43" s="18"/>
      <c r="W43" s="62"/>
    </row>
    <row r="44" spans="2:23">
      <c r="B44" s="60"/>
      <c r="C44" s="18"/>
      <c r="D44" s="18"/>
      <c r="E44" s="18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18"/>
      <c r="U44" s="18"/>
      <c r="V44" s="18"/>
      <c r="W44" s="62"/>
    </row>
    <row r="45" spans="2:23">
      <c r="B45" s="67"/>
      <c r="C45" s="68"/>
      <c r="D45" s="68"/>
      <c r="E45" s="68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8"/>
      <c r="U45" s="68"/>
      <c r="V45" s="68"/>
      <c r="W45" s="70"/>
    </row>
    <row r="48" spans="2:23">
      <c r="F48" s="23">
        <f>F31*metadata!$I$20</f>
        <v>3079175.75</v>
      </c>
      <c r="G48" s="23">
        <f>G31*metadata!$I$20</f>
        <v>2709674.66</v>
      </c>
    </row>
    <row r="49" spans="6:7">
      <c r="F49" s="23">
        <f>F38*metadata!$I$21</f>
        <v>3761192.57</v>
      </c>
      <c r="G49" s="23">
        <f>G38*metadata!$I$21</f>
        <v>3836416.4213999999</v>
      </c>
    </row>
  </sheetData>
  <pageMargins left="0.7" right="0.7" top="0.75" bottom="0.75" header="0.3" footer="0.3"/>
  <headerFooter>
    <oddFooter>&amp;C_x000D_&amp;1#&amp;"Calibri"&amp;10&amp;K000000 Control Disclosure</oddFooter>
  </headerFooter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0BC88-F9DB-4C82-BA67-63CFCA91896F}">
  <sheetPr codeName="Sheet26">
    <tabColor theme="7" tint="0.79998168889431442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13A4-72AB-40ED-8CE7-304EB1502CA8}">
  <sheetPr codeName="Sheet4"/>
  <dimension ref="A1:N223"/>
  <sheetViews>
    <sheetView topLeftCell="E1" workbookViewId="0">
      <selection activeCell="P8" sqref="P8:AD265"/>
    </sheetView>
  </sheetViews>
  <sheetFormatPr defaultRowHeight="14.5"/>
  <cols>
    <col min="1" max="1" width="1.6328125" customWidth="1"/>
    <col min="2" max="2" width="26.1796875" customWidth="1"/>
    <col min="3" max="4" width="14.1796875" bestFit="1" customWidth="1"/>
    <col min="5" max="6" width="20.7265625" bestFit="1" customWidth="1"/>
    <col min="7" max="7" width="14.1796875" bestFit="1" customWidth="1"/>
    <col min="8" max="8" width="1.36328125" customWidth="1"/>
    <col min="9" max="9" width="13.90625" bestFit="1" customWidth="1"/>
    <col min="10" max="10" width="14.26953125" bestFit="1" customWidth="1"/>
    <col min="11" max="13" width="19.54296875" customWidth="1"/>
    <col min="14" max="14" width="10.81640625" style="10" bestFit="1" customWidth="1"/>
  </cols>
  <sheetData>
    <row r="1" spans="1:14">
      <c r="A1" t="str" cm="1">
        <f t="array" aca="1" ref="A1" ca="1">CELL("filename",A1)</f>
        <v>C:\Sync\git_hub\vba_samplicity\[01_magnus_premres.xlsm]PremRes</v>
      </c>
    </row>
    <row r="2" spans="1:14">
      <c r="A2" s="14" t="s">
        <v>256</v>
      </c>
    </row>
    <row r="3" spans="1:14">
      <c r="A3" s="14" t="s">
        <v>81</v>
      </c>
    </row>
    <row r="5" spans="1:14">
      <c r="B5" s="127" t="s">
        <v>506</v>
      </c>
      <c r="C5" s="128"/>
      <c r="D5" s="128"/>
      <c r="E5" s="128"/>
      <c r="F5" s="128"/>
      <c r="G5" s="129"/>
      <c r="I5" s="127" t="s">
        <v>505</v>
      </c>
      <c r="J5" s="128"/>
      <c r="K5" s="128"/>
      <c r="L5" s="128"/>
      <c r="M5" s="128"/>
      <c r="N5" s="129"/>
    </row>
    <row r="7" spans="1:14">
      <c r="B7" s="147" t="str" cm="1">
        <f t="array" ref="B7:G208">PremRes(rPremRes,rShare,2)</f>
        <v>division level</v>
      </c>
      <c r="C7" s="147" t="str">
        <v>division value</v>
      </c>
      <c r="D7" s="147" t="str">
        <v>peril</v>
      </c>
      <c r="E7" s="147" t="str">
        <v>value group</v>
      </c>
      <c r="F7" s="147" t="str">
        <v>value type</v>
      </c>
      <c r="G7" s="147" t="str">
        <v>value</v>
      </c>
      <c r="I7" s="147" t="str" cm="1">
        <f t="array" ref="I7:N25">PremRes(rPremRes,rShare,0)</f>
        <v>division level</v>
      </c>
      <c r="J7" s="147" t="str">
        <v>division value</v>
      </c>
      <c r="K7" s="147" t="str">
        <v>peril</v>
      </c>
      <c r="L7" s="147" t="str">
        <v>value group</v>
      </c>
      <c r="M7" s="147" t="str">
        <v>value type</v>
      </c>
      <c r="N7" s="147" t="str">
        <v>value</v>
      </c>
    </row>
    <row r="8" spans="1:14">
      <c r="B8" s="96" t="str">
        <v>__overall__</v>
      </c>
      <c r="C8" s="96" t="str">
        <v>__overall__</v>
      </c>
      <c r="D8" s="92" t="str">
        <v>overall</v>
      </c>
      <c r="E8" s="92" t="str">
        <v>gross charge</v>
      </c>
      <c r="F8" s="92" t="str">
        <v>gross charge</v>
      </c>
      <c r="G8" s="92">
        <v>26906631.710481331</v>
      </c>
      <c r="I8" s="3" t="str">
        <v>__overall__</v>
      </c>
      <c r="J8" s="3" t="str">
        <v>__overall__</v>
      </c>
      <c r="K8" s="3" t="str">
        <v>overall</v>
      </c>
      <c r="L8" s="3" t="str">
        <v>gross charge</v>
      </c>
      <c r="M8" s="3" t="str">
        <v>gross charge</v>
      </c>
      <c r="N8" s="12">
        <v>26906631.710481331</v>
      </c>
    </row>
    <row r="9" spans="1:14">
      <c r="B9" s="94" t="str">
        <v>__overall__</v>
      </c>
      <c r="C9" s="94" t="str">
        <v>__overall__</v>
      </c>
      <c r="D9" s="93" t="str">
        <v>overall</v>
      </c>
      <c r="E9" s="93" t="str">
        <v>net charge</v>
      </c>
      <c r="F9" s="93" t="str">
        <v>net charge</v>
      </c>
      <c r="G9" s="93">
        <v>23259405.792210422</v>
      </c>
      <c r="I9" s="4" t="str">
        <v>__overall__</v>
      </c>
      <c r="J9" s="4" t="str">
        <v>__overall__</v>
      </c>
      <c r="K9" s="4" t="str">
        <v>overall</v>
      </c>
      <c r="L9" s="4" t="str">
        <v>net charge</v>
      </c>
      <c r="M9" s="4" t="str">
        <v>net charge</v>
      </c>
      <c r="N9" s="13">
        <v>23259405.792210422</v>
      </c>
    </row>
    <row r="10" spans="1:14">
      <c r="B10" s="94" t="str">
        <v>__overall__</v>
      </c>
      <c r="C10" s="94" t="str">
        <v>__overall__</v>
      </c>
      <c r="D10" s="93" t="str">
        <v>overall</v>
      </c>
      <c r="E10" s="93" t="str">
        <v>calculated net charge</v>
      </c>
      <c r="F10" s="93" t="str">
        <v>calculated net charge</v>
      </c>
      <c r="G10" s="93">
        <v>23213147.350329429</v>
      </c>
      <c r="I10" s="4" t="str">
        <v>__overall__</v>
      </c>
      <c r="J10" s="4" t="str">
        <v>__overall__</v>
      </c>
      <c r="K10" s="4" t="str">
        <v>overall</v>
      </c>
      <c r="L10" s="4" t="str">
        <v>calculated net charge</v>
      </c>
      <c r="M10" s="4" t="str">
        <v>calculated net charge</v>
      </c>
      <c r="N10" s="13">
        <v>23213147.350329429</v>
      </c>
    </row>
    <row r="11" spans="1:14">
      <c r="B11" s="94" t="str">
        <v>__overall__</v>
      </c>
      <c r="C11" s="94" t="str">
        <v>__overall__</v>
      </c>
      <c r="D11" s="93" t="str">
        <v>overall</v>
      </c>
      <c r="E11" s="93" t="str">
        <v>counterparty</v>
      </c>
      <c r="F11" s="93" t="str">
        <v>company_a</v>
      </c>
      <c r="G11" s="93">
        <v>1581782.2389246784</v>
      </c>
      <c r="I11" s="4" t="str">
        <v>__overall__</v>
      </c>
      <c r="J11" s="4" t="str">
        <v>__overall__</v>
      </c>
      <c r="K11" s="4" t="str">
        <v>overall</v>
      </c>
      <c r="L11" s="4" t="str">
        <v>counterparty</v>
      </c>
      <c r="M11" s="4" t="str">
        <v>company_a</v>
      </c>
      <c r="N11" s="13">
        <v>1581782.2389246784</v>
      </c>
    </row>
    <row r="12" spans="1:14">
      <c r="B12" s="94" t="str">
        <v>__overall__</v>
      </c>
      <c r="C12" s="94" t="str">
        <v>__overall__</v>
      </c>
      <c r="D12" s="93" t="str">
        <v>overall</v>
      </c>
      <c r="E12" s="93" t="str">
        <v>counterparty</v>
      </c>
      <c r="F12" s="93" t="str">
        <v>company_b</v>
      </c>
      <c r="G12" s="93">
        <v>1558921.6745710447</v>
      </c>
      <c r="I12" s="4" t="str">
        <v>__overall__</v>
      </c>
      <c r="J12" s="4" t="str">
        <v>__overall__</v>
      </c>
      <c r="K12" s="4" t="str">
        <v>overall</v>
      </c>
      <c r="L12" s="4" t="str">
        <v>counterparty</v>
      </c>
      <c r="M12" s="4" t="str">
        <v>company_b</v>
      </c>
      <c r="N12" s="13">
        <v>1558921.6745710447</v>
      </c>
    </row>
    <row r="13" spans="1:14">
      <c r="B13" s="94" t="str">
        <v>__overall__</v>
      </c>
      <c r="C13" s="94" t="str">
        <v>__overall__</v>
      </c>
      <c r="D13" s="93" t="str">
        <v>overall</v>
      </c>
      <c r="E13" s="93" t="str">
        <v>counterparty</v>
      </c>
      <c r="F13" s="93" t="str">
        <v>company_c</v>
      </c>
      <c r="G13" s="93">
        <v>535917.55303235352</v>
      </c>
      <c r="I13" s="4" t="str">
        <v>__overall__</v>
      </c>
      <c r="J13" s="4" t="str">
        <v>__overall__</v>
      </c>
      <c r="K13" s="4" t="str">
        <v>overall</v>
      </c>
      <c r="L13" s="4" t="str">
        <v>counterparty</v>
      </c>
      <c r="M13" s="4" t="str">
        <v>company_c</v>
      </c>
      <c r="N13" s="13">
        <v>535917.55303235352</v>
      </c>
    </row>
    <row r="14" spans="1:14">
      <c r="B14" s="94" t="str">
        <v>level_1</v>
      </c>
      <c r="C14" s="94" t="str">
        <v>direct</v>
      </c>
      <c r="D14" s="93" t="str">
        <v>overall</v>
      </c>
      <c r="E14" s="93" t="str">
        <v>gross charge</v>
      </c>
      <c r="F14" s="93" t="str">
        <v>gross charge</v>
      </c>
      <c r="G14" s="93">
        <v>14834028.884441206</v>
      </c>
      <c r="I14" s="4" t="str">
        <v>__overall__</v>
      </c>
      <c r="J14" s="4" t="str">
        <v>__overall__</v>
      </c>
      <c r="K14" s="4" t="str">
        <v>premium</v>
      </c>
      <c r="L14" s="4" t="str">
        <v>gross charge</v>
      </c>
      <c r="M14" s="4" t="str">
        <v>gross charge</v>
      </c>
      <c r="N14" s="13">
        <v>21653732.969777104</v>
      </c>
    </row>
    <row r="15" spans="1:14">
      <c r="B15" s="94" t="str">
        <v>level_1</v>
      </c>
      <c r="C15" s="94" t="str">
        <v>direct</v>
      </c>
      <c r="D15" s="93" t="str">
        <v>overall</v>
      </c>
      <c r="E15" s="93" t="str">
        <v>net charge</v>
      </c>
      <c r="F15" s="93" t="str">
        <v>net charge</v>
      </c>
      <c r="G15" s="93">
        <v>13279733.535143133</v>
      </c>
      <c r="I15" s="4" t="str">
        <v>__overall__</v>
      </c>
      <c r="J15" s="4" t="str">
        <v>__overall__</v>
      </c>
      <c r="K15" s="4" t="str">
        <v>premium</v>
      </c>
      <c r="L15" s="4" t="str">
        <v>net charge</v>
      </c>
      <c r="M15" s="4" t="str">
        <v>net charge</v>
      </c>
      <c r="N15" s="13">
        <v>18946925.477271833</v>
      </c>
    </row>
    <row r="16" spans="1:14">
      <c r="B16" s="94" t="str">
        <v>level_1</v>
      </c>
      <c r="C16" s="94" t="str">
        <v>direct</v>
      </c>
      <c r="D16" s="93" t="str">
        <v>overall</v>
      </c>
      <c r="E16" s="93" t="str">
        <v>calculated net charge</v>
      </c>
      <c r="F16" s="93" t="str">
        <v>calculated net charge</v>
      </c>
      <c r="G16" s="93">
        <v>13417309.539193764</v>
      </c>
      <c r="I16" s="4" t="str">
        <v>__overall__</v>
      </c>
      <c r="J16" s="4" t="str">
        <v>__overall__</v>
      </c>
      <c r="K16" s="4" t="str">
        <v>premium</v>
      </c>
      <c r="L16" s="4" t="str">
        <v>calculated net charge</v>
      </c>
      <c r="M16" s="4" t="str">
        <v>calculated net charge</v>
      </c>
      <c r="N16" s="13">
        <v>18775007.631600846</v>
      </c>
    </row>
    <row r="17" spans="2:14">
      <c r="B17" s="94" t="str">
        <v>level_1</v>
      </c>
      <c r="C17" s="94" t="str">
        <v>direct</v>
      </c>
      <c r="D17" s="93" t="str">
        <v>overall</v>
      </c>
      <c r="E17" s="93" t="str">
        <v>counterparty</v>
      </c>
      <c r="F17" s="93" t="str">
        <v>company_a</v>
      </c>
      <c r="G17" s="93">
        <v>549952.18989840895</v>
      </c>
      <c r="I17" s="4" t="str">
        <v>__overall__</v>
      </c>
      <c r="J17" s="4" t="str">
        <v>__overall__</v>
      </c>
      <c r="K17" s="4" t="str">
        <v>premium</v>
      </c>
      <c r="L17" s="4" t="str">
        <v>counterparty</v>
      </c>
      <c r="M17" s="4" t="str">
        <v>company_a</v>
      </c>
      <c r="N17" s="13">
        <v>1231974.8044187985</v>
      </c>
    </row>
    <row r="18" spans="2:14">
      <c r="B18" s="94" t="str">
        <v>level_1</v>
      </c>
      <c r="C18" s="94" t="str">
        <v>direct</v>
      </c>
      <c r="D18" s="93" t="str">
        <v>overall</v>
      </c>
      <c r="E18" s="93" t="str">
        <v>counterparty</v>
      </c>
      <c r="F18" s="93" t="str">
        <v>company_b</v>
      </c>
      <c r="G18" s="93">
        <v>586607.24816681445</v>
      </c>
      <c r="I18" s="4" t="str">
        <v>__overall__</v>
      </c>
      <c r="J18" s="4" t="str">
        <v>__overall__</v>
      </c>
      <c r="K18" s="4" t="str">
        <v>premium</v>
      </c>
      <c r="L18" s="4" t="str">
        <v>counterparty</v>
      </c>
      <c r="M18" s="4" t="str">
        <v>company_b</v>
      </c>
      <c r="N18" s="13">
        <v>1214627.7599889748</v>
      </c>
    </row>
    <row r="19" spans="2:14">
      <c r="B19" s="94" t="str">
        <v>level_1</v>
      </c>
      <c r="C19" s="94" t="str">
        <v>direct</v>
      </c>
      <c r="D19" s="93" t="str">
        <v>overall</v>
      </c>
      <c r="E19" s="93" t="str">
        <v>counterparty</v>
      </c>
      <c r="F19" s="93" t="str">
        <v>company_c</v>
      </c>
      <c r="G19" s="93">
        <v>268858.22513791174</v>
      </c>
      <c r="I19" s="4" t="str">
        <v>__overall__</v>
      </c>
      <c r="J19" s="4" t="str">
        <v>__overall__</v>
      </c>
      <c r="K19" s="4" t="str">
        <v>premium</v>
      </c>
      <c r="L19" s="4" t="str">
        <v>counterparty</v>
      </c>
      <c r="M19" s="4" t="str">
        <v>company_c</v>
      </c>
      <c r="N19" s="13">
        <v>418178.44229988009</v>
      </c>
    </row>
    <row r="20" spans="2:14">
      <c r="B20" s="94" t="str">
        <v>level_1</v>
      </c>
      <c r="C20" s="94" t="str">
        <v>intermediated</v>
      </c>
      <c r="D20" s="93" t="str">
        <v>overall</v>
      </c>
      <c r="E20" s="93" t="str">
        <v>gross charge</v>
      </c>
      <c r="F20" s="93" t="str">
        <v>gross charge</v>
      </c>
      <c r="G20" s="93">
        <v>5974814.5605519954</v>
      </c>
      <c r="I20" s="4" t="str">
        <v>__overall__</v>
      </c>
      <c r="J20" s="4" t="str">
        <v>__overall__</v>
      </c>
      <c r="K20" s="4" t="str">
        <v>reserve</v>
      </c>
      <c r="L20" s="4" t="str">
        <v>gross charge</v>
      </c>
      <c r="M20" s="4" t="str">
        <v>gross charge</v>
      </c>
      <c r="N20" s="13">
        <v>8321100.1445485316</v>
      </c>
    </row>
    <row r="21" spans="2:14">
      <c r="B21" s="94" t="str">
        <v>level_1</v>
      </c>
      <c r="C21" s="94" t="str">
        <v>intermediated</v>
      </c>
      <c r="D21" s="93" t="str">
        <v>overall</v>
      </c>
      <c r="E21" s="93" t="str">
        <v>net charge</v>
      </c>
      <c r="F21" s="93" t="str">
        <v>net charge</v>
      </c>
      <c r="G21" s="93">
        <v>4213700.5997630376</v>
      </c>
      <c r="I21" s="4" t="str">
        <v>__overall__</v>
      </c>
      <c r="J21" s="4" t="str">
        <v>__overall__</v>
      </c>
      <c r="K21" s="4" t="str">
        <v>reserve</v>
      </c>
      <c r="L21" s="4" t="str">
        <v>net charge</v>
      </c>
      <c r="M21" s="4" t="str">
        <v>net charge</v>
      </c>
      <c r="N21" s="13">
        <v>6926781.159025169</v>
      </c>
    </row>
    <row r="22" spans="2:14">
      <c r="B22" s="94" t="str">
        <v>level_1</v>
      </c>
      <c r="C22" s="94" t="str">
        <v>intermediated</v>
      </c>
      <c r="D22" s="94" t="str">
        <v>overall</v>
      </c>
      <c r="E22" s="94" t="str">
        <v>calculated net charge</v>
      </c>
      <c r="F22" s="94" t="str">
        <v>calculated net charge</v>
      </c>
      <c r="G22" s="93">
        <v>4373052.8190186145</v>
      </c>
      <c r="I22" s="4" t="str">
        <v>__overall__</v>
      </c>
      <c r="J22" s="4" t="str">
        <v>__overall__</v>
      </c>
      <c r="K22" s="4" t="str">
        <v>reserve</v>
      </c>
      <c r="L22" s="4" t="str">
        <v>calculated net charge</v>
      </c>
      <c r="M22" s="4" t="str">
        <v>calculated net charge</v>
      </c>
      <c r="N22" s="13">
        <v>7054112.71145292</v>
      </c>
    </row>
    <row r="23" spans="2:14">
      <c r="B23" s="94" t="str">
        <v>level_1</v>
      </c>
      <c r="C23" s="94" t="str">
        <v>intermediated</v>
      </c>
      <c r="D23" s="94" t="str">
        <v>overall</v>
      </c>
      <c r="E23" s="94" t="str">
        <v>counterparty</v>
      </c>
      <c r="F23" s="94" t="str">
        <v>company_a</v>
      </c>
      <c r="G23" s="93">
        <v>755078.17074071616</v>
      </c>
      <c r="I23" s="4" t="str">
        <v>__overall__</v>
      </c>
      <c r="J23" s="4" t="str">
        <v>__overall__</v>
      </c>
      <c r="K23" s="4" t="str">
        <v>reserve</v>
      </c>
      <c r="L23" s="4" t="str">
        <v>counterparty</v>
      </c>
      <c r="M23" s="4" t="str">
        <v>company_a</v>
      </c>
      <c r="N23" s="13">
        <v>541378.22432607133</v>
      </c>
    </row>
    <row r="24" spans="2:14">
      <c r="B24" s="94" t="str">
        <v>level_1</v>
      </c>
      <c r="C24" s="94" t="str">
        <v>intermediated</v>
      </c>
      <c r="D24" s="94" t="str">
        <v>overall</v>
      </c>
      <c r="E24" s="94" t="str">
        <v>counterparty</v>
      </c>
      <c r="F24" s="94" t="str">
        <v>company_b</v>
      </c>
      <c r="G24" s="93">
        <v>677100.37898569833</v>
      </c>
      <c r="I24" s="4" t="str">
        <v>__overall__</v>
      </c>
      <c r="J24" s="4" t="str">
        <v>__overall__</v>
      </c>
      <c r="K24" s="4" t="str">
        <v>reserve</v>
      </c>
      <c r="L24" s="4" t="str">
        <v>counterparty</v>
      </c>
      <c r="M24" s="4" t="str">
        <v>company_b</v>
      </c>
      <c r="N24" s="13">
        <v>534391.76812191028</v>
      </c>
    </row>
    <row r="25" spans="2:14">
      <c r="B25" s="94" t="str">
        <v>level_1</v>
      </c>
      <c r="C25" s="94" t="str">
        <v>intermediated</v>
      </c>
      <c r="D25" s="94" t="str">
        <v>overall</v>
      </c>
      <c r="E25" s="94" t="str">
        <v>counterparty</v>
      </c>
      <c r="F25" s="94" t="str">
        <v>company_c</v>
      </c>
      <c r="G25" s="93">
        <v>148318.36503052898</v>
      </c>
      <c r="I25" s="7" t="str">
        <v>__overall__</v>
      </c>
      <c r="J25" s="7" t="str">
        <v>__overall__</v>
      </c>
      <c r="K25" s="7" t="str">
        <v>reserve</v>
      </c>
      <c r="L25" s="7" t="str">
        <v>counterparty</v>
      </c>
      <c r="M25" s="7" t="str">
        <v>company_c</v>
      </c>
      <c r="N25" s="87">
        <v>185457.82283468544</v>
      </c>
    </row>
    <row r="26" spans="2:14">
      <c r="B26" s="94" t="str">
        <v>level_1</v>
      </c>
      <c r="C26" s="94" t="str">
        <v>partnerships</v>
      </c>
      <c r="D26" s="94" t="str">
        <v>overall</v>
      </c>
      <c r="E26" s="94" t="str">
        <v>gross charge</v>
      </c>
      <c r="F26" s="94" t="str">
        <v>gross charge</v>
      </c>
      <c r="G26" s="93">
        <v>799670.98199709656</v>
      </c>
    </row>
    <row r="27" spans="2:14">
      <c r="B27" s="94" t="str">
        <v>level_1</v>
      </c>
      <c r="C27" s="94" t="str">
        <v>partnerships</v>
      </c>
      <c r="D27" s="94" t="str">
        <v>overall</v>
      </c>
      <c r="E27" s="94" t="str">
        <v>net charge</v>
      </c>
      <c r="F27" s="94" t="str">
        <v>net charge</v>
      </c>
      <c r="G27" s="93">
        <v>799538.07364756695</v>
      </c>
    </row>
    <row r="28" spans="2:14">
      <c r="B28" s="94" t="str">
        <v>level_1</v>
      </c>
      <c r="C28" s="94" t="str">
        <v>partnerships</v>
      </c>
      <c r="D28" s="94" t="str">
        <v>overall</v>
      </c>
      <c r="E28" s="94" t="str">
        <v>calculated net charge</v>
      </c>
      <c r="F28" s="94" t="str">
        <v>calculated net charge</v>
      </c>
      <c r="G28" s="93">
        <v>799670.98199709656</v>
      </c>
    </row>
    <row r="29" spans="2:14">
      <c r="B29" s="94" t="str">
        <v>level_1</v>
      </c>
      <c r="C29" s="94" t="str">
        <v>specialised</v>
      </c>
      <c r="D29" s="94" t="str">
        <v>overall</v>
      </c>
      <c r="E29" s="94" t="str">
        <v>gross charge</v>
      </c>
      <c r="F29" s="94" t="str">
        <v>gross charge</v>
      </c>
      <c r="G29" s="93">
        <v>7346990.0228495374</v>
      </c>
    </row>
    <row r="30" spans="2:14">
      <c r="B30" s="94" t="str">
        <v>level_1</v>
      </c>
      <c r="C30" s="94" t="str">
        <v>specialised</v>
      </c>
      <c r="D30" s="94" t="str">
        <v>overall</v>
      </c>
      <c r="E30" s="94" t="str">
        <v>net charge</v>
      </c>
      <c r="F30" s="94" t="str">
        <v>net charge</v>
      </c>
      <c r="G30" s="93">
        <v>6710063.8357270118</v>
      </c>
    </row>
    <row r="31" spans="2:14">
      <c r="B31" s="94" t="str">
        <v>level_1</v>
      </c>
      <c r="C31" s="94" t="str">
        <v>specialised</v>
      </c>
      <c r="D31" s="94" t="str">
        <v>overall</v>
      </c>
      <c r="E31" s="94" t="str">
        <v>calculated net charge</v>
      </c>
      <c r="F31" s="94" t="str">
        <v>calculated net charge</v>
      </c>
      <c r="G31" s="93">
        <v>6352716.8541807383</v>
      </c>
    </row>
    <row r="32" spans="2:14">
      <c r="B32" s="94" t="str">
        <v>level_1</v>
      </c>
      <c r="C32" s="94" t="str">
        <v>specialised</v>
      </c>
      <c r="D32" s="94" t="str">
        <v>overall</v>
      </c>
      <c r="E32" s="94" t="str">
        <v>counterparty</v>
      </c>
      <c r="F32" s="94" t="str">
        <v>company_a</v>
      </c>
      <c r="G32" s="93">
        <v>392812.26468703337</v>
      </c>
    </row>
    <row r="33" spans="2:7">
      <c r="B33" s="94" t="str">
        <v>level_1</v>
      </c>
      <c r="C33" s="94" t="str">
        <v>specialised</v>
      </c>
      <c r="D33" s="94" t="str">
        <v>overall</v>
      </c>
      <c r="E33" s="94" t="str">
        <v>counterparty</v>
      </c>
      <c r="F33" s="94" t="str">
        <v>company_b</v>
      </c>
      <c r="G33" s="93">
        <v>409334.75601681881</v>
      </c>
    </row>
    <row r="34" spans="2:7">
      <c r="B34" s="94" t="str">
        <v>level_1</v>
      </c>
      <c r="C34" s="94" t="str">
        <v>specialised</v>
      </c>
      <c r="D34" s="94" t="str">
        <v>overall</v>
      </c>
      <c r="E34" s="94" t="str">
        <v>counterparty</v>
      </c>
      <c r="F34" s="94" t="str">
        <v>company_c</v>
      </c>
      <c r="G34" s="93">
        <v>178093.69620337337</v>
      </c>
    </row>
    <row r="35" spans="2:7">
      <c r="B35" s="94" t="str">
        <v>level_2</v>
      </c>
      <c r="C35" s="94" t="str">
        <v>gauteng</v>
      </c>
      <c r="D35" s="94" t="str">
        <v>overall</v>
      </c>
      <c r="E35" s="94" t="str">
        <v>gross charge</v>
      </c>
      <c r="F35" s="94" t="str">
        <v>gross charge</v>
      </c>
      <c r="G35" s="93">
        <v>2213874.1126166619</v>
      </c>
    </row>
    <row r="36" spans="2:7">
      <c r="B36" s="94" t="str">
        <v>level_2</v>
      </c>
      <c r="C36" s="94" t="str">
        <v>gauteng</v>
      </c>
      <c r="D36" s="94" t="str">
        <v>overall</v>
      </c>
      <c r="E36" s="94" t="str">
        <v>net charge</v>
      </c>
      <c r="F36" s="94" t="str">
        <v>net charge</v>
      </c>
      <c r="G36" s="93">
        <v>1106642.1412088098</v>
      </c>
    </row>
    <row r="37" spans="2:7">
      <c r="B37" s="94" t="str">
        <v>level_2</v>
      </c>
      <c r="C37" s="94" t="str">
        <v>gauteng</v>
      </c>
      <c r="D37" s="94" t="str">
        <v>overall</v>
      </c>
      <c r="E37" s="94" t="str">
        <v>calculated net charge</v>
      </c>
      <c r="F37" s="94" t="str">
        <v>calculated net charge</v>
      </c>
      <c r="G37" s="93">
        <v>1217630.761939164</v>
      </c>
    </row>
    <row r="38" spans="2:7">
      <c r="B38" s="94" t="str">
        <v>level_2</v>
      </c>
      <c r="C38" s="94" t="str">
        <v>gauteng</v>
      </c>
      <c r="D38" s="94" t="str">
        <v>overall</v>
      </c>
      <c r="E38" s="94" t="str">
        <v>counterparty</v>
      </c>
      <c r="F38" s="94" t="str">
        <v>company_a</v>
      </c>
      <c r="G38" s="93">
        <v>553468.52815416548</v>
      </c>
    </row>
    <row r="39" spans="2:7">
      <c r="B39" s="94" t="str">
        <v>level_2</v>
      </c>
      <c r="C39" s="94" t="str">
        <v>gauteng</v>
      </c>
      <c r="D39" s="94" t="str">
        <v>overall</v>
      </c>
      <c r="E39" s="94" t="str">
        <v>counterparty</v>
      </c>
      <c r="F39" s="94" t="str">
        <v>company_b</v>
      </c>
      <c r="G39" s="93">
        <v>442774.82252333243</v>
      </c>
    </row>
    <row r="40" spans="2:7">
      <c r="B40" s="94" t="str">
        <v>level_2</v>
      </c>
      <c r="C40" s="94" t="str">
        <v>kzn</v>
      </c>
      <c r="D40" s="94" t="str">
        <v>overall</v>
      </c>
      <c r="E40" s="94" t="str">
        <v>gross charge</v>
      </c>
      <c r="F40" s="94" t="str">
        <v>gross charge</v>
      </c>
      <c r="G40" s="93">
        <v>1219334.4418685799</v>
      </c>
    </row>
    <row r="41" spans="2:7">
      <c r="B41" s="94" t="str">
        <v>level_2</v>
      </c>
      <c r="C41" s="94" t="str">
        <v>kzn</v>
      </c>
      <c r="D41" s="94" t="str">
        <v>overall</v>
      </c>
      <c r="E41" s="94" t="str">
        <v>net charge</v>
      </c>
      <c r="F41" s="94" t="str">
        <v>net charge</v>
      </c>
      <c r="G41" s="93">
        <v>1219227.059142811</v>
      </c>
    </row>
    <row r="42" spans="2:7">
      <c r="B42" s="94" t="str">
        <v>level_2</v>
      </c>
      <c r="C42" s="94" t="str">
        <v>kzn</v>
      </c>
      <c r="D42" s="94" t="str">
        <v>overall</v>
      </c>
      <c r="E42" s="94" t="str">
        <v>calculated net charge</v>
      </c>
      <c r="F42" s="94" t="str">
        <v>calculated net charge</v>
      </c>
      <c r="G42" s="93">
        <v>1219334.4418685799</v>
      </c>
    </row>
    <row r="43" spans="2:7">
      <c r="B43" s="94" t="str">
        <v>level_2</v>
      </c>
      <c r="C43" s="94" t="str">
        <v>limpopo</v>
      </c>
      <c r="D43" s="94" t="str">
        <v>overall</v>
      </c>
      <c r="E43" s="94" t="str">
        <v>gross charge</v>
      </c>
      <c r="F43" s="94" t="str">
        <v>gross charge</v>
      </c>
      <c r="G43" s="93">
        <v>6083749.9331477517</v>
      </c>
    </row>
    <row r="44" spans="2:7">
      <c r="B44" s="94" t="str">
        <v>level_2</v>
      </c>
      <c r="C44" s="94" t="str">
        <v>limpopo</v>
      </c>
      <c r="D44" s="94" t="str">
        <v>overall</v>
      </c>
      <c r="E44" s="94" t="str">
        <v>net charge</v>
      </c>
      <c r="F44" s="94" t="str">
        <v>net charge</v>
      </c>
      <c r="G44" s="93">
        <v>5649953.593754949</v>
      </c>
    </row>
    <row r="45" spans="2:7">
      <c r="B45" s="94" t="str">
        <v>level_2</v>
      </c>
      <c r="C45" s="94" t="str">
        <v>limpopo</v>
      </c>
      <c r="D45" s="94" t="str">
        <v>overall</v>
      </c>
      <c r="E45" s="94" t="str">
        <v>calculated net charge</v>
      </c>
      <c r="F45" s="94" t="str">
        <v>calculated net charge</v>
      </c>
      <c r="G45" s="93">
        <v>5678502.2014692333</v>
      </c>
    </row>
    <row r="46" spans="2:7">
      <c r="B46" s="94" t="str">
        <v>level_2</v>
      </c>
      <c r="C46" s="94" t="str">
        <v>limpopo</v>
      </c>
      <c r="D46" s="94" t="str">
        <v>overall</v>
      </c>
      <c r="E46" s="94" t="str">
        <v>counterparty</v>
      </c>
      <c r="F46" s="94" t="str">
        <v>company_b</v>
      </c>
      <c r="G46" s="93">
        <v>143573.78091094363</v>
      </c>
    </row>
    <row r="47" spans="2:7">
      <c r="B47" s="94" t="str">
        <v>level_2</v>
      </c>
      <c r="C47" s="94" t="str">
        <v>limpopo</v>
      </c>
      <c r="D47" s="94" t="str">
        <v>overall</v>
      </c>
      <c r="E47" s="94" t="str">
        <v>counterparty</v>
      </c>
      <c r="F47" s="94" t="str">
        <v>company_c</v>
      </c>
      <c r="G47" s="93">
        <v>259381.41869406775</v>
      </c>
    </row>
    <row r="48" spans="2:7">
      <c r="B48" s="94" t="str">
        <v>level_2</v>
      </c>
      <c r="C48" s="94" t="str">
        <v>north west</v>
      </c>
      <c r="D48" s="94" t="str">
        <v>overall</v>
      </c>
      <c r="E48" s="94" t="str">
        <v>gross charge</v>
      </c>
      <c r="F48" s="94" t="str">
        <v>gross charge</v>
      </c>
      <c r="G48" s="93">
        <v>5898015.0035073403</v>
      </c>
    </row>
    <row r="49" spans="2:7">
      <c r="B49" s="94" t="str">
        <v>level_2</v>
      </c>
      <c r="C49" s="94" t="str">
        <v>north west</v>
      </c>
      <c r="D49" s="94" t="str">
        <v>overall</v>
      </c>
      <c r="E49" s="94" t="str">
        <v>net charge</v>
      </c>
      <c r="F49" s="94" t="str">
        <v>net charge</v>
      </c>
      <c r="G49" s="93">
        <v>4752711.9028189108</v>
      </c>
    </row>
    <row r="50" spans="2:7">
      <c r="B50" s="94" t="str">
        <v>level_2</v>
      </c>
      <c r="C50" s="94" t="str">
        <v>north west</v>
      </c>
      <c r="D50" s="94" t="str">
        <v>overall</v>
      </c>
      <c r="E50" s="94" t="str">
        <v>calculated net charge</v>
      </c>
      <c r="F50" s="94" t="str">
        <v>calculated net charge</v>
      </c>
      <c r="G50" s="93">
        <v>4858871.5530990399</v>
      </c>
    </row>
    <row r="51" spans="2:7">
      <c r="B51" s="94" t="str">
        <v>level_2</v>
      </c>
      <c r="C51" s="94" t="str">
        <v>north west</v>
      </c>
      <c r="D51" s="94" t="str">
        <v>overall</v>
      </c>
      <c r="E51" s="94" t="str">
        <v>counterparty</v>
      </c>
      <c r="F51" s="94" t="str">
        <v>company_a</v>
      </c>
      <c r="G51" s="93">
        <v>560531.77915861458</v>
      </c>
    </row>
    <row r="52" spans="2:7">
      <c r="B52" s="94" t="str">
        <v>level_2</v>
      </c>
      <c r="C52" s="94" t="str">
        <v>north west</v>
      </c>
      <c r="D52" s="94" t="str">
        <v>overall</v>
      </c>
      <c r="E52" s="94" t="str">
        <v>counterparty</v>
      </c>
      <c r="F52" s="94" t="str">
        <v>company_b</v>
      </c>
      <c r="G52" s="93">
        <v>444706.31772537157</v>
      </c>
    </row>
    <row r="53" spans="2:7">
      <c r="B53" s="94" t="str">
        <v>level_2</v>
      </c>
      <c r="C53" s="94" t="str">
        <v>eastern cape</v>
      </c>
      <c r="D53" s="94" t="str">
        <v>overall</v>
      </c>
      <c r="E53" s="94" t="str">
        <v>gross charge</v>
      </c>
      <c r="F53" s="94" t="str">
        <v>gross charge</v>
      </c>
      <c r="G53" s="93">
        <v>2779270.8014661032</v>
      </c>
    </row>
    <row r="54" spans="2:7">
      <c r="B54" s="94" t="str">
        <v>level_2</v>
      </c>
      <c r="C54" s="94" t="str">
        <v>eastern cape</v>
      </c>
      <c r="D54" s="94" t="str">
        <v>overall</v>
      </c>
      <c r="E54" s="94" t="str">
        <v>net charge</v>
      </c>
      <c r="F54" s="94" t="str">
        <v>net charge</v>
      </c>
      <c r="G54" s="93">
        <v>2581314.7842029906</v>
      </c>
    </row>
    <row r="55" spans="2:7">
      <c r="B55" s="94" t="str">
        <v>level_2</v>
      </c>
      <c r="C55" s="94" t="str">
        <v>eastern cape</v>
      </c>
      <c r="D55" s="94" t="str">
        <v>overall</v>
      </c>
      <c r="E55" s="94" t="str">
        <v>calculated net charge</v>
      </c>
      <c r="F55" s="94" t="str">
        <v>calculated net charge</v>
      </c>
      <c r="G55" s="93">
        <v>2594263.1415814213</v>
      </c>
    </row>
    <row r="56" spans="2:7">
      <c r="B56" s="94" t="str">
        <v>level_2</v>
      </c>
      <c r="C56" s="94" t="str">
        <v>eastern cape</v>
      </c>
      <c r="D56" s="94" t="str">
        <v>overall</v>
      </c>
      <c r="E56" s="94" t="str">
        <v>counterparty</v>
      </c>
      <c r="F56" s="94" t="str">
        <v>company_b</v>
      </c>
      <c r="G56" s="93">
        <v>65298.410886846483</v>
      </c>
    </row>
    <row r="57" spans="2:7">
      <c r="B57" s="94" t="str">
        <v>level_2</v>
      </c>
      <c r="C57" s="94" t="str">
        <v>eastern cape</v>
      </c>
      <c r="D57" s="94" t="str">
        <v>overall</v>
      </c>
      <c r="E57" s="94" t="str">
        <v>counterparty</v>
      </c>
      <c r="F57" s="94" t="str">
        <v>company_c</v>
      </c>
      <c r="G57" s="93">
        <v>118172.86002831254</v>
      </c>
    </row>
    <row r="58" spans="2:7">
      <c r="B58" s="94" t="str">
        <v>level_2</v>
      </c>
      <c r="C58" s="94" t="str">
        <v>free state</v>
      </c>
      <c r="D58" s="94" t="str">
        <v>overall</v>
      </c>
      <c r="E58" s="94" t="str">
        <v>gross charge</v>
      </c>
      <c r="F58" s="94" t="str">
        <v>gross charge</v>
      </c>
      <c r="G58" s="93">
        <v>4450505.4614063352</v>
      </c>
    </row>
    <row r="59" spans="2:7">
      <c r="B59" s="94" t="str">
        <v>level_2</v>
      </c>
      <c r="C59" s="94" t="str">
        <v>free state</v>
      </c>
      <c r="D59" s="94" t="str">
        <v>overall</v>
      </c>
      <c r="E59" s="94" t="str">
        <v>net charge</v>
      </c>
      <c r="F59" s="94" t="str">
        <v>net charge</v>
      </c>
      <c r="G59" s="93">
        <v>3772567.1907483246</v>
      </c>
    </row>
    <row r="60" spans="2:7">
      <c r="B60" s="94" t="str">
        <v>level_2</v>
      </c>
      <c r="C60" s="94" t="str">
        <v>free state</v>
      </c>
      <c r="D60" s="94" t="str">
        <v>overall</v>
      </c>
      <c r="E60" s="94" t="str">
        <v>calculated net charge</v>
      </c>
      <c r="F60" s="94" t="str">
        <v>calculated net charge</v>
      </c>
      <c r="G60" s="93">
        <v>3831938.586062979</v>
      </c>
    </row>
    <row r="61" spans="2:7">
      <c r="B61" s="94" t="str">
        <v>level_2</v>
      </c>
      <c r="C61" s="94" t="str">
        <v>free state</v>
      </c>
      <c r="D61" s="94" t="str">
        <v>overall</v>
      </c>
      <c r="E61" s="94" t="str">
        <v>counterparty</v>
      </c>
      <c r="F61" s="94" t="str">
        <v>company_a</v>
      </c>
      <c r="G61" s="93">
        <v>253170.46650259662</v>
      </c>
    </row>
    <row r="62" spans="2:7">
      <c r="B62" s="94" t="str">
        <v>level_2</v>
      </c>
      <c r="C62" s="94" t="str">
        <v>free state</v>
      </c>
      <c r="D62" s="94" t="str">
        <v>overall</v>
      </c>
      <c r="E62" s="94" t="str">
        <v>counterparty</v>
      </c>
      <c r="F62" s="94" t="str">
        <v>company_b</v>
      </c>
      <c r="G62" s="93">
        <v>255488.21296015568</v>
      </c>
    </row>
    <row r="63" spans="2:7">
      <c r="B63" s="94" t="str">
        <v>level_2</v>
      </c>
      <c r="C63" s="94" t="str">
        <v>free state</v>
      </c>
      <c r="D63" s="94" t="str">
        <v>overall</v>
      </c>
      <c r="E63" s="94" t="str">
        <v>counterparty</v>
      </c>
      <c r="F63" s="94" t="str">
        <v>company_c</v>
      </c>
      <c r="G63" s="93">
        <v>100801.66854011919</v>
      </c>
    </row>
    <row r="64" spans="2:7">
      <c r="B64" s="94" t="str">
        <v>level_2</v>
      </c>
      <c r="C64" s="94" t="str">
        <v>northern cape</v>
      </c>
      <c r="D64" s="94" t="str">
        <v>overall</v>
      </c>
      <c r="E64" s="94" t="str">
        <v>gross charge</v>
      </c>
      <c r="F64" s="94" t="str">
        <v>gross charge</v>
      </c>
      <c r="G64" s="93">
        <v>5393818.6767365318</v>
      </c>
    </row>
    <row r="65" spans="2:7">
      <c r="B65" s="94" t="str">
        <v>level_2</v>
      </c>
      <c r="C65" s="94" t="str">
        <v>northern cape</v>
      </c>
      <c r="D65" s="94" t="str">
        <v>overall</v>
      </c>
      <c r="E65" s="94" t="str">
        <v>net charge</v>
      </c>
      <c r="F65" s="94" t="str">
        <v>net charge</v>
      </c>
      <c r="G65" s="93">
        <v>5077017.9014536142</v>
      </c>
    </row>
    <row r="66" spans="2:7">
      <c r="B66" s="94" t="str">
        <v>level_2</v>
      </c>
      <c r="C66" s="94" t="str">
        <v>northern cape</v>
      </c>
      <c r="D66" s="94" t="str">
        <v>overall</v>
      </c>
      <c r="E66" s="94" t="str">
        <v>calculated net charge</v>
      </c>
      <c r="F66" s="94" t="str">
        <v>calculated net charge</v>
      </c>
      <c r="G66" s="93">
        <v>5040891.1339115528</v>
      </c>
    </row>
    <row r="67" spans="2:7">
      <c r="B67" s="94" t="str">
        <v>level_2</v>
      </c>
      <c r="C67" s="94" t="str">
        <v>northern cape</v>
      </c>
      <c r="D67" s="94" t="str">
        <v>overall</v>
      </c>
      <c r="E67" s="94" t="str">
        <v>counterparty</v>
      </c>
      <c r="F67" s="94" t="str">
        <v>company_a</v>
      </c>
      <c r="G67" s="93">
        <v>189127.37961827125</v>
      </c>
    </row>
    <row r="68" spans="2:7">
      <c r="B68" s="94" t="str">
        <v>level_2</v>
      </c>
      <c r="C68" s="94" t="str">
        <v>northern cape</v>
      </c>
      <c r="D68" s="94" t="str">
        <v>overall</v>
      </c>
      <c r="E68" s="94" t="str">
        <v>counterparty</v>
      </c>
      <c r="F68" s="94" t="str">
        <v>company_b</v>
      </c>
      <c r="G68" s="93">
        <v>149860.75310634263</v>
      </c>
    </row>
    <row r="69" spans="2:7">
      <c r="B69" s="94" t="str">
        <v>level_2</v>
      </c>
      <c r="C69" s="94" t="str">
        <v>western cape</v>
      </c>
      <c r="D69" s="94" t="str">
        <v>overall</v>
      </c>
      <c r="E69" s="94" t="str">
        <v>gross charge</v>
      </c>
      <c r="F69" s="94" t="str">
        <v>gross charge</v>
      </c>
      <c r="G69" s="93">
        <v>4546466.8656967869</v>
      </c>
    </row>
    <row r="70" spans="2:7">
      <c r="B70" s="94" t="str">
        <v>level_2</v>
      </c>
      <c r="C70" s="94" t="str">
        <v>western cape</v>
      </c>
      <c r="D70" s="94" t="str">
        <v>overall</v>
      </c>
      <c r="E70" s="94" t="str">
        <v>net charge</v>
      </c>
      <c r="F70" s="94" t="str">
        <v>net charge</v>
      </c>
      <c r="G70" s="93">
        <v>3843296.4565112693</v>
      </c>
    </row>
    <row r="71" spans="2:7">
      <c r="B71" s="94" t="str">
        <v>level_2</v>
      </c>
      <c r="C71" s="94" t="str">
        <v>western cape</v>
      </c>
      <c r="D71" s="94" t="str">
        <v>overall</v>
      </c>
      <c r="E71" s="94" t="str">
        <v>calculated net charge</v>
      </c>
      <c r="F71" s="94" t="str">
        <v>calculated net charge</v>
      </c>
      <c r="G71" s="93">
        <v>3535124.435705218</v>
      </c>
    </row>
    <row r="72" spans="2:7">
      <c r="B72" s="94" t="str">
        <v>level_2</v>
      </c>
      <c r="C72" s="94" t="str">
        <v>western cape</v>
      </c>
      <c r="D72" s="94" t="str">
        <v>overall</v>
      </c>
      <c r="E72" s="94" t="str">
        <v>counterparty</v>
      </c>
      <c r="F72" s="94" t="str">
        <v>company_a</v>
      </c>
      <c r="G72" s="93">
        <v>418386.31009525573</v>
      </c>
    </row>
    <row r="73" spans="2:7">
      <c r="B73" s="94" t="str">
        <v>level_2</v>
      </c>
      <c r="C73" s="94" t="str">
        <v>western cape</v>
      </c>
      <c r="D73" s="94" t="str">
        <v>overall</v>
      </c>
      <c r="E73" s="94" t="str">
        <v>counterparty</v>
      </c>
      <c r="F73" s="94" t="str">
        <v>company_b</v>
      </c>
      <c r="G73" s="93">
        <v>417829.22531129094</v>
      </c>
    </row>
    <row r="74" spans="2:7">
      <c r="B74" s="94" t="str">
        <v>level_2</v>
      </c>
      <c r="C74" s="94" t="str">
        <v>western cape</v>
      </c>
      <c r="D74" s="94" t="str">
        <v>overall</v>
      </c>
      <c r="E74" s="94" t="str">
        <v>counterparty</v>
      </c>
      <c r="F74" s="94" t="str">
        <v>company_c</v>
      </c>
      <c r="G74" s="93">
        <v>162567.70199151943</v>
      </c>
    </row>
    <row r="75" spans="2:7">
      <c r="B75" s="94" t="str">
        <v>__overall__</v>
      </c>
      <c r="C75" s="94" t="str">
        <v>__overall__</v>
      </c>
      <c r="D75" s="94" t="str">
        <v>premium</v>
      </c>
      <c r="E75" s="94" t="str">
        <v>gross charge</v>
      </c>
      <c r="F75" s="94" t="str">
        <v>gross charge</v>
      </c>
      <c r="G75" s="93">
        <v>21653732.969777104</v>
      </c>
    </row>
    <row r="76" spans="2:7">
      <c r="B76" s="94" t="str">
        <v>__overall__</v>
      </c>
      <c r="C76" s="94" t="str">
        <v>__overall__</v>
      </c>
      <c r="D76" s="94" t="str">
        <v>premium</v>
      </c>
      <c r="E76" s="94" t="str">
        <v>net charge</v>
      </c>
      <c r="F76" s="94" t="str">
        <v>net charge</v>
      </c>
      <c r="G76" s="93">
        <v>18946925.477271833</v>
      </c>
    </row>
    <row r="77" spans="2:7">
      <c r="B77" s="94" t="str">
        <v>__overall__</v>
      </c>
      <c r="C77" s="94" t="str">
        <v>__overall__</v>
      </c>
      <c r="D77" s="94" t="str">
        <v>premium</v>
      </c>
      <c r="E77" s="94" t="str">
        <v>calculated net charge</v>
      </c>
      <c r="F77" s="94" t="str">
        <v>calculated net charge</v>
      </c>
      <c r="G77" s="93">
        <v>18775007.631600846</v>
      </c>
    </row>
    <row r="78" spans="2:7">
      <c r="B78" s="94" t="str">
        <v>__overall__</v>
      </c>
      <c r="C78" s="94" t="str">
        <v>__overall__</v>
      </c>
      <c r="D78" s="94" t="str">
        <v>premium</v>
      </c>
      <c r="E78" s="94" t="str">
        <v>counterparty</v>
      </c>
      <c r="F78" s="94" t="str">
        <v>company_a</v>
      </c>
      <c r="G78" s="93">
        <v>1231974.8044187985</v>
      </c>
    </row>
    <row r="79" spans="2:7">
      <c r="B79" s="94" t="str">
        <v>__overall__</v>
      </c>
      <c r="C79" s="94" t="str">
        <v>__overall__</v>
      </c>
      <c r="D79" s="94" t="str">
        <v>premium</v>
      </c>
      <c r="E79" s="94" t="str">
        <v>counterparty</v>
      </c>
      <c r="F79" s="94" t="str">
        <v>company_b</v>
      </c>
      <c r="G79" s="93">
        <v>1214627.7599889748</v>
      </c>
    </row>
    <row r="80" spans="2:7">
      <c r="B80" s="94" t="str">
        <v>__overall__</v>
      </c>
      <c r="C80" s="94" t="str">
        <v>__overall__</v>
      </c>
      <c r="D80" s="94" t="str">
        <v>premium</v>
      </c>
      <c r="E80" s="94" t="str">
        <v>counterparty</v>
      </c>
      <c r="F80" s="94" t="str">
        <v>company_c</v>
      </c>
      <c r="G80" s="93">
        <v>418178.44229988009</v>
      </c>
    </row>
    <row r="81" spans="2:7">
      <c r="B81" s="94" t="str">
        <v>level_1</v>
      </c>
      <c r="C81" s="94" t="str">
        <v>direct</v>
      </c>
      <c r="D81" s="94" t="str">
        <v>premium</v>
      </c>
      <c r="E81" s="94" t="str">
        <v>gross charge</v>
      </c>
      <c r="F81" s="94" t="str">
        <v>gross charge</v>
      </c>
      <c r="G81" s="93">
        <v>12293637.195698854</v>
      </c>
    </row>
    <row r="82" spans="2:7">
      <c r="B82" s="94" t="str">
        <v>level_1</v>
      </c>
      <c r="C82" s="94" t="str">
        <v>direct</v>
      </c>
      <c r="D82" s="94" t="str">
        <v>premium</v>
      </c>
      <c r="E82" s="94" t="str">
        <v>net charge</v>
      </c>
      <c r="F82" s="94" t="str">
        <v>net charge</v>
      </c>
      <c r="G82" s="93">
        <v>11016027.85088855</v>
      </c>
    </row>
    <row r="83" spans="2:7">
      <c r="B83" s="94" t="str">
        <v>level_1</v>
      </c>
      <c r="C83" s="94" t="str">
        <v>direct</v>
      </c>
      <c r="D83" s="94" t="str">
        <v>premium</v>
      </c>
      <c r="E83" s="94" t="str">
        <v>calculated net charge</v>
      </c>
      <c r="F83" s="94" t="str">
        <v>calculated net charge</v>
      </c>
      <c r="G83" s="93">
        <v>11129914.951851649</v>
      </c>
    </row>
    <row r="84" spans="2:7">
      <c r="B84" s="94" t="str">
        <v>level_1</v>
      </c>
      <c r="C84" s="94" t="str">
        <v>direct</v>
      </c>
      <c r="D84" s="94" t="str">
        <v>premium</v>
      </c>
      <c r="E84" s="94" t="str">
        <v>counterparty</v>
      </c>
      <c r="F84" s="94" t="str">
        <v>company_a</v>
      </c>
      <c r="G84" s="93">
        <v>464731.72614336759</v>
      </c>
    </row>
    <row r="85" spans="2:7">
      <c r="B85" s="94" t="str">
        <v>level_1</v>
      </c>
      <c r="C85" s="94" t="str">
        <v>direct</v>
      </c>
      <c r="D85" s="94" t="str">
        <v>premium</v>
      </c>
      <c r="E85" s="94" t="str">
        <v>counterparty</v>
      </c>
      <c r="F85" s="94" t="str">
        <v>company_b</v>
      </c>
      <c r="G85" s="93">
        <v>483714.67686901614</v>
      </c>
    </row>
    <row r="86" spans="2:7">
      <c r="B86" s="94" t="str">
        <v>level_1</v>
      </c>
      <c r="C86" s="94" t="str">
        <v>direct</v>
      </c>
      <c r="D86" s="94" t="str">
        <v>premium</v>
      </c>
      <c r="E86" s="94" t="str">
        <v>counterparty</v>
      </c>
      <c r="F86" s="94" t="str">
        <v>company_c</v>
      </c>
      <c r="G86" s="93">
        <v>205453.67491095513</v>
      </c>
    </row>
    <row r="87" spans="2:7">
      <c r="B87" s="94" t="str">
        <v>level_1</v>
      </c>
      <c r="C87" s="94" t="str">
        <v>intermediated</v>
      </c>
      <c r="D87" s="94" t="str">
        <v>premium</v>
      </c>
      <c r="E87" s="94" t="str">
        <v>gross charge</v>
      </c>
      <c r="F87" s="94" t="str">
        <v>gross charge</v>
      </c>
      <c r="G87" s="93">
        <v>5022795.7352242041</v>
      </c>
    </row>
    <row r="88" spans="2:7">
      <c r="B88" s="94" t="str">
        <v>level_1</v>
      </c>
      <c r="C88" s="94" t="str">
        <v>intermediated</v>
      </c>
      <c r="D88" s="94" t="str">
        <v>premium</v>
      </c>
      <c r="E88" s="94" t="str">
        <v>net charge</v>
      </c>
      <c r="F88" s="94" t="str">
        <v>net charge</v>
      </c>
      <c r="G88" s="93">
        <v>3559475.0500263032</v>
      </c>
    </row>
    <row r="89" spans="2:7">
      <c r="B89" s="94" t="str">
        <v>level_1</v>
      </c>
      <c r="C89" s="94" t="str">
        <v>intermediated</v>
      </c>
      <c r="D89" s="94" t="str">
        <v>premium</v>
      </c>
      <c r="E89" s="94" t="str">
        <v>calculated net charge</v>
      </c>
      <c r="F89" s="94" t="str">
        <v>calculated net charge</v>
      </c>
      <c r="G89" s="93">
        <v>3691728.313170922</v>
      </c>
    </row>
    <row r="90" spans="2:7">
      <c r="B90" s="94" t="str">
        <v>level_1</v>
      </c>
      <c r="C90" s="94" t="str">
        <v>intermediated</v>
      </c>
      <c r="D90" s="94" t="str">
        <v>premium</v>
      </c>
      <c r="E90" s="94" t="str">
        <v>counterparty</v>
      </c>
      <c r="F90" s="94" t="str">
        <v>company_a</v>
      </c>
      <c r="G90" s="93">
        <v>626976.72011503391</v>
      </c>
    </row>
    <row r="91" spans="2:7">
      <c r="B91" s="94" t="str">
        <v>level_1</v>
      </c>
      <c r="C91" s="94" t="str">
        <v>intermediated</v>
      </c>
      <c r="D91" s="94" t="str">
        <v>premium</v>
      </c>
      <c r="E91" s="94" t="str">
        <v>counterparty</v>
      </c>
      <c r="F91" s="94" t="str">
        <v>company_b</v>
      </c>
      <c r="G91" s="93">
        <v>562333.42888538912</v>
      </c>
    </row>
    <row r="92" spans="2:7">
      <c r="B92" s="94" t="str">
        <v>level_1</v>
      </c>
      <c r="C92" s="94" t="str">
        <v>intermediated</v>
      </c>
      <c r="D92" s="94" t="str">
        <v>premium</v>
      </c>
      <c r="E92" s="94" t="str">
        <v>counterparty</v>
      </c>
      <c r="F92" s="94" t="str">
        <v>company_c</v>
      </c>
      <c r="G92" s="93">
        <v>123342.87295128684</v>
      </c>
    </row>
    <row r="93" spans="2:7">
      <c r="B93" s="94" t="str">
        <v>level_1</v>
      </c>
      <c r="C93" s="94" t="str">
        <v>partnerships</v>
      </c>
      <c r="D93" s="94" t="str">
        <v>premium</v>
      </c>
      <c r="E93" s="94" t="str">
        <v>gross charge</v>
      </c>
      <c r="F93" s="94" t="str">
        <v>gross charge</v>
      </c>
      <c r="G93" s="93">
        <v>679467.3</v>
      </c>
    </row>
    <row r="94" spans="2:7">
      <c r="B94" s="94" t="str">
        <v>level_1</v>
      </c>
      <c r="C94" s="94" t="str">
        <v>partnerships</v>
      </c>
      <c r="D94" s="94" t="str">
        <v>premium</v>
      </c>
      <c r="E94" s="94" t="str">
        <v>net charge</v>
      </c>
      <c r="F94" s="94" t="str">
        <v>net charge</v>
      </c>
      <c r="G94" s="93">
        <v>679331.10000000009</v>
      </c>
    </row>
    <row r="95" spans="2:7">
      <c r="B95" s="94" t="str">
        <v>level_1</v>
      </c>
      <c r="C95" s="94" t="str">
        <v>partnerships</v>
      </c>
      <c r="D95" s="94" t="str">
        <v>premium</v>
      </c>
      <c r="E95" s="94" t="str">
        <v>calculated net charge</v>
      </c>
      <c r="F95" s="94" t="str">
        <v>calculated net charge</v>
      </c>
      <c r="G95" s="93">
        <v>679467.3</v>
      </c>
    </row>
    <row r="96" spans="2:7">
      <c r="B96" s="94" t="str">
        <v>level_1</v>
      </c>
      <c r="C96" s="94" t="str">
        <v>specialised</v>
      </c>
      <c r="D96" s="94" t="str">
        <v>premium</v>
      </c>
      <c r="E96" s="94" t="str">
        <v>gross charge</v>
      </c>
      <c r="F96" s="94" t="str">
        <v>gross charge</v>
      </c>
      <c r="G96" s="93">
        <v>5306639.6045899959</v>
      </c>
    </row>
    <row r="97" spans="2:7">
      <c r="B97" s="94" t="str">
        <v>level_1</v>
      </c>
      <c r="C97" s="94" t="str">
        <v>specialised</v>
      </c>
      <c r="D97" s="94" t="str">
        <v>premium</v>
      </c>
      <c r="E97" s="94" t="str">
        <v>net charge</v>
      </c>
      <c r="F97" s="94" t="str">
        <v>net charge</v>
      </c>
      <c r="G97" s="93">
        <v>5120290.5483812168</v>
      </c>
    </row>
    <row r="98" spans="2:7">
      <c r="B98" s="94" t="str">
        <v>level_1</v>
      </c>
      <c r="C98" s="94" t="str">
        <v>specialised</v>
      </c>
      <c r="D98" s="94" t="str">
        <v>premium</v>
      </c>
      <c r="E98" s="94" t="str">
        <v>calculated net charge</v>
      </c>
      <c r="F98" s="94" t="str">
        <v>calculated net charge</v>
      </c>
      <c r="G98" s="93">
        <v>4680468.1722882874</v>
      </c>
    </row>
    <row r="99" spans="2:7">
      <c r="B99" s="94" t="str">
        <v>level_1</v>
      </c>
      <c r="C99" s="94" t="str">
        <v>specialised</v>
      </c>
      <c r="D99" s="94" t="str">
        <v>premium</v>
      </c>
      <c r="E99" s="94" t="str">
        <v>counterparty</v>
      </c>
      <c r="F99" s="94" t="str">
        <v>company_a</v>
      </c>
      <c r="G99" s="93">
        <v>224696.69121206924</v>
      </c>
    </row>
    <row r="100" spans="2:7">
      <c r="B100" s="94" t="str">
        <v>level_1</v>
      </c>
      <c r="C100" s="94" t="str">
        <v>specialised</v>
      </c>
      <c r="D100" s="94" t="str">
        <v>premium</v>
      </c>
      <c r="E100" s="94" t="str">
        <v>counterparty</v>
      </c>
      <c r="F100" s="94" t="str">
        <v>company_b</v>
      </c>
      <c r="G100" s="93">
        <v>254882.10697804391</v>
      </c>
    </row>
    <row r="101" spans="2:7">
      <c r="B101" s="94" t="str">
        <v>level_1</v>
      </c>
      <c r="C101" s="94" t="str">
        <v>specialised</v>
      </c>
      <c r="D101" s="94" t="str">
        <v>premium</v>
      </c>
      <c r="E101" s="94" t="str">
        <v>counterparty</v>
      </c>
      <c r="F101" s="94" t="str">
        <v>company_c</v>
      </c>
      <c r="G101" s="93">
        <v>139146.93024579342</v>
      </c>
    </row>
    <row r="102" spans="2:7">
      <c r="B102" s="94" t="str">
        <v>level_2</v>
      </c>
      <c r="C102" s="94" t="str">
        <v>gauteng</v>
      </c>
      <c r="D102" s="94" t="str">
        <v>premium</v>
      </c>
      <c r="E102" s="94" t="str">
        <v>gross charge</v>
      </c>
      <c r="F102" s="94" t="str">
        <v>gross charge</v>
      </c>
      <c r="G102" s="93">
        <v>1869531.2586117061</v>
      </c>
    </row>
    <row r="103" spans="2:7">
      <c r="B103" s="94" t="str">
        <v>level_2</v>
      </c>
      <c r="C103" s="94" t="str">
        <v>gauteng</v>
      </c>
      <c r="D103" s="94" t="str">
        <v>premium</v>
      </c>
      <c r="E103" s="94" t="str">
        <v>net charge</v>
      </c>
      <c r="F103" s="94" t="str">
        <v>net charge</v>
      </c>
      <c r="G103" s="93">
        <v>934468.6764973792</v>
      </c>
    </row>
    <row r="104" spans="2:7">
      <c r="B104" s="94" t="str">
        <v>level_2</v>
      </c>
      <c r="C104" s="94" t="str">
        <v>gauteng</v>
      </c>
      <c r="D104" s="94" t="str">
        <v>premium</v>
      </c>
      <c r="E104" s="94" t="str">
        <v>calculated net charge</v>
      </c>
      <c r="F104" s="94" t="str">
        <v>calculated net charge</v>
      </c>
      <c r="G104" s="93">
        <v>1028242.1922364383</v>
      </c>
    </row>
    <row r="105" spans="2:7">
      <c r="B105" s="94" t="str">
        <v>level_2</v>
      </c>
      <c r="C105" s="94" t="str">
        <v>gauteng</v>
      </c>
      <c r="D105" s="94" t="str">
        <v>premium</v>
      </c>
      <c r="E105" s="94" t="str">
        <v>counterparty</v>
      </c>
      <c r="F105" s="94" t="str">
        <v>company_a</v>
      </c>
      <c r="G105" s="93">
        <v>467382.81465292687</v>
      </c>
    </row>
    <row r="106" spans="2:7">
      <c r="B106" s="94" t="str">
        <v>level_2</v>
      </c>
      <c r="C106" s="94" t="str">
        <v>gauteng</v>
      </c>
      <c r="D106" s="94" t="str">
        <v>premium</v>
      </c>
      <c r="E106" s="94" t="str">
        <v>counterparty</v>
      </c>
      <c r="F106" s="94" t="str">
        <v>company_b</v>
      </c>
      <c r="G106" s="93">
        <v>373906.25172234129</v>
      </c>
    </row>
    <row r="107" spans="2:7">
      <c r="B107" s="94" t="str">
        <v>level_2</v>
      </c>
      <c r="C107" s="94" t="str">
        <v>kzn</v>
      </c>
      <c r="D107" s="94" t="str">
        <v>premium</v>
      </c>
      <c r="E107" s="94" t="str">
        <v>gross charge</v>
      </c>
      <c r="F107" s="94" t="str">
        <v>gross charge</v>
      </c>
      <c r="G107" s="93">
        <v>1040083.3640095785</v>
      </c>
    </row>
    <row r="108" spans="2:7">
      <c r="B108" s="94" t="str">
        <v>level_2</v>
      </c>
      <c r="C108" s="94" t="str">
        <v>kzn</v>
      </c>
      <c r="D108" s="94" t="str">
        <v>premium</v>
      </c>
      <c r="E108" s="94" t="str">
        <v>net charge</v>
      </c>
      <c r="F108" s="94" t="str">
        <v>net charge</v>
      </c>
      <c r="G108" s="93">
        <v>1039973.578495075</v>
      </c>
    </row>
    <row r="109" spans="2:7">
      <c r="B109" s="94" t="str">
        <v>level_2</v>
      </c>
      <c r="C109" s="94" t="str">
        <v>kzn</v>
      </c>
      <c r="D109" s="94" t="str">
        <v>premium</v>
      </c>
      <c r="E109" s="94" t="str">
        <v>calculated net charge</v>
      </c>
      <c r="F109" s="94" t="str">
        <v>calculated net charge</v>
      </c>
      <c r="G109" s="93">
        <v>1040083.3640095785</v>
      </c>
    </row>
    <row r="110" spans="2:7">
      <c r="B110" s="94" t="str">
        <v>level_2</v>
      </c>
      <c r="C110" s="94" t="str">
        <v>limpopo</v>
      </c>
      <c r="D110" s="94" t="str">
        <v>premium</v>
      </c>
      <c r="E110" s="94" t="str">
        <v>gross charge</v>
      </c>
      <c r="F110" s="94" t="str">
        <v>gross charge</v>
      </c>
      <c r="G110" s="93">
        <v>5039656.4603532217</v>
      </c>
    </row>
    <row r="111" spans="2:7">
      <c r="B111" s="94" t="str">
        <v>level_2</v>
      </c>
      <c r="C111" s="94" t="str">
        <v>limpopo</v>
      </c>
      <c r="D111" s="94" t="str">
        <v>premium</v>
      </c>
      <c r="E111" s="94" t="str">
        <v>net charge</v>
      </c>
      <c r="F111" s="94" t="str">
        <v>net charge</v>
      </c>
      <c r="G111" s="93">
        <v>4688778.0248029083</v>
      </c>
    </row>
    <row r="112" spans="2:7">
      <c r="B112" s="94" t="str">
        <v>level_2</v>
      </c>
      <c r="C112" s="94" t="str">
        <v>limpopo</v>
      </c>
      <c r="D112" s="94" t="str">
        <v>premium</v>
      </c>
      <c r="E112" s="94" t="str">
        <v>calculated net charge</v>
      </c>
      <c r="F112" s="94" t="str">
        <v>calculated net charge</v>
      </c>
      <c r="G112" s="93">
        <v>4711861.4385210993</v>
      </c>
    </row>
    <row r="113" spans="2:7">
      <c r="B113" s="94" t="str">
        <v>level_2</v>
      </c>
      <c r="C113" s="94" t="str">
        <v>limpopo</v>
      </c>
      <c r="D113" s="94" t="str">
        <v>premium</v>
      </c>
      <c r="E113" s="94" t="str">
        <v>counterparty</v>
      </c>
      <c r="F113" s="94" t="str">
        <v>company_b</v>
      </c>
      <c r="G113" s="93">
        <v>116106.8177097505</v>
      </c>
    </row>
    <row r="114" spans="2:7">
      <c r="B114" s="94" t="str">
        <v>level_2</v>
      </c>
      <c r="C114" s="94" t="str">
        <v>limpopo</v>
      </c>
      <c r="D114" s="94" t="str">
        <v>premium</v>
      </c>
      <c r="E114" s="94" t="str">
        <v>counterparty</v>
      </c>
      <c r="F114" s="94" t="str">
        <v>company_c</v>
      </c>
      <c r="G114" s="93">
        <v>209780.86036545038</v>
      </c>
    </row>
    <row r="115" spans="2:7">
      <c r="B115" s="94" t="str">
        <v>level_2</v>
      </c>
      <c r="C115" s="94" t="str">
        <v>north west</v>
      </c>
      <c r="D115" s="94" t="str">
        <v>premium</v>
      </c>
      <c r="E115" s="94" t="str">
        <v>gross charge</v>
      </c>
      <c r="F115" s="94" t="str">
        <v>gross charge</v>
      </c>
      <c r="G115" s="93">
        <v>4872830.3613621136</v>
      </c>
    </row>
    <row r="116" spans="2:7">
      <c r="B116" s="94" t="str">
        <v>level_2</v>
      </c>
      <c r="C116" s="94" t="str">
        <v>north west</v>
      </c>
      <c r="D116" s="94" t="str">
        <v>premium</v>
      </c>
      <c r="E116" s="94" t="str">
        <v>net charge</v>
      </c>
      <c r="F116" s="94" t="str">
        <v>net charge</v>
      </c>
      <c r="G116" s="93">
        <v>3946558.5669142851</v>
      </c>
    </row>
    <row r="117" spans="2:7">
      <c r="B117" s="94" t="str">
        <v>level_2</v>
      </c>
      <c r="C117" s="94" t="str">
        <v>north west</v>
      </c>
      <c r="D117" s="94" t="str">
        <v>premium</v>
      </c>
      <c r="E117" s="94" t="str">
        <v>calculated net charge</v>
      </c>
      <c r="F117" s="94" t="str">
        <v>calculated net charge</v>
      </c>
      <c r="G117" s="93">
        <v>4032330.86357853</v>
      </c>
    </row>
    <row r="118" spans="2:7">
      <c r="B118" s="94" t="str">
        <v>level_2</v>
      </c>
      <c r="C118" s="94" t="str">
        <v>north west</v>
      </c>
      <c r="D118" s="94" t="str">
        <v>premium</v>
      </c>
      <c r="E118" s="94" t="str">
        <v>counterparty</v>
      </c>
      <c r="F118" s="94" t="str">
        <v>company_a</v>
      </c>
      <c r="G118" s="93">
        <v>453059.84546215832</v>
      </c>
    </row>
    <row r="119" spans="2:7">
      <c r="B119" s="94" t="str">
        <v>level_2</v>
      </c>
      <c r="C119" s="94" t="str">
        <v>north west</v>
      </c>
      <c r="D119" s="94" t="str">
        <v>premium</v>
      </c>
      <c r="E119" s="94" t="str">
        <v>counterparty</v>
      </c>
      <c r="F119" s="94" t="str">
        <v>company_b</v>
      </c>
      <c r="G119" s="93">
        <v>359375.77479101717</v>
      </c>
    </row>
    <row r="120" spans="2:7">
      <c r="B120" s="94" t="str">
        <v>level_2</v>
      </c>
      <c r="C120" s="94" t="str">
        <v>eastern cape</v>
      </c>
      <c r="D120" s="94" t="str">
        <v>premium</v>
      </c>
      <c r="E120" s="94" t="str">
        <v>gross charge</v>
      </c>
      <c r="F120" s="94" t="str">
        <v>gross charge</v>
      </c>
      <c r="G120" s="93">
        <v>2127558.1265595895</v>
      </c>
    </row>
    <row r="121" spans="2:7">
      <c r="B121" s="94" t="str">
        <v>level_2</v>
      </c>
      <c r="C121" s="94" t="str">
        <v>eastern cape</v>
      </c>
      <c r="D121" s="94" t="str">
        <v>premium</v>
      </c>
      <c r="E121" s="94" t="str">
        <v>net charge</v>
      </c>
      <c r="F121" s="94" t="str">
        <v>net charge</v>
      </c>
      <c r="G121" s="93">
        <v>1983818.8876473857</v>
      </c>
    </row>
    <row r="122" spans="2:7">
      <c r="B122" s="94" t="str">
        <v>level_2</v>
      </c>
      <c r="C122" s="94" t="str">
        <v>eastern cape</v>
      </c>
      <c r="D122" s="94" t="str">
        <v>premium</v>
      </c>
      <c r="E122" s="94" t="str">
        <v>calculated net charge</v>
      </c>
      <c r="F122" s="94" t="str">
        <v>calculated net charge</v>
      </c>
      <c r="G122" s="93">
        <v>1993206.0317080147</v>
      </c>
    </row>
    <row r="123" spans="2:7">
      <c r="B123" s="94" t="str">
        <v>level_2</v>
      </c>
      <c r="C123" s="94" t="str">
        <v>eastern cape</v>
      </c>
      <c r="D123" s="94" t="str">
        <v>premium</v>
      </c>
      <c r="E123" s="94" t="str">
        <v>counterparty</v>
      </c>
      <c r="F123" s="94" t="str">
        <v>company_b</v>
      </c>
      <c r="G123" s="93">
        <v>47372.188649348449</v>
      </c>
    </row>
    <row r="124" spans="2:7">
      <c r="B124" s="94" t="str">
        <v>level_2</v>
      </c>
      <c r="C124" s="94" t="str">
        <v>eastern cape</v>
      </c>
      <c r="D124" s="94" t="str">
        <v>premium</v>
      </c>
      <c r="E124" s="94" t="str">
        <v>counterparty</v>
      </c>
      <c r="F124" s="94" t="str">
        <v>company_c</v>
      </c>
      <c r="G124" s="93">
        <v>85769.777533601504</v>
      </c>
    </row>
    <row r="125" spans="2:7">
      <c r="B125" s="94" t="str">
        <v>level_2</v>
      </c>
      <c r="C125" s="94" t="str">
        <v>free state</v>
      </c>
      <c r="D125" s="94" t="str">
        <v>premium</v>
      </c>
      <c r="E125" s="94" t="str">
        <v>gross charge</v>
      </c>
      <c r="F125" s="94" t="str">
        <v>gross charge</v>
      </c>
      <c r="G125" s="93">
        <v>3765300.5782548334</v>
      </c>
    </row>
    <row r="126" spans="2:7">
      <c r="B126" s="94" t="str">
        <v>level_2</v>
      </c>
      <c r="C126" s="94" t="str">
        <v>free state</v>
      </c>
      <c r="D126" s="94" t="str">
        <v>premium</v>
      </c>
      <c r="E126" s="94" t="str">
        <v>net charge</v>
      </c>
      <c r="F126" s="94" t="str">
        <v>net charge</v>
      </c>
      <c r="G126" s="93">
        <v>3217267.6336595435</v>
      </c>
    </row>
    <row r="127" spans="2:7">
      <c r="B127" s="94" t="str">
        <v>level_2</v>
      </c>
      <c r="C127" s="94" t="str">
        <v>free state</v>
      </c>
      <c r="D127" s="94" t="str">
        <v>premium</v>
      </c>
      <c r="E127" s="94" t="str">
        <v>calculated net charge</v>
      </c>
      <c r="F127" s="94" t="str">
        <v>calculated net charge</v>
      </c>
      <c r="G127" s="93">
        <v>3265753.6984897968</v>
      </c>
    </row>
    <row r="128" spans="2:7">
      <c r="B128" s="94" t="str">
        <v>level_2</v>
      </c>
      <c r="C128" s="94" t="str">
        <v>free state</v>
      </c>
      <c r="D128" s="94" t="str">
        <v>premium</v>
      </c>
      <c r="E128" s="94" t="str">
        <v>counterparty</v>
      </c>
      <c r="F128" s="94" t="str">
        <v>company_a</v>
      </c>
      <c r="G128" s="93">
        <v>213686.01215307042</v>
      </c>
    </row>
    <row r="129" spans="2:7">
      <c r="B129" s="94" t="str">
        <v>level_2</v>
      </c>
      <c r="C129" s="94" t="str">
        <v>free state</v>
      </c>
      <c r="D129" s="94" t="str">
        <v>premium</v>
      </c>
      <c r="E129" s="94" t="str">
        <v>counterparty</v>
      </c>
      <c r="F129" s="94" t="str">
        <v>company_b</v>
      </c>
      <c r="G129" s="93">
        <v>207527.54743978567</v>
      </c>
    </row>
    <row r="130" spans="2:7">
      <c r="B130" s="94" t="str">
        <v>level_2</v>
      </c>
      <c r="C130" s="94" t="str">
        <v>free state</v>
      </c>
      <c r="D130" s="94" t="str">
        <v>premium</v>
      </c>
      <c r="E130" s="94" t="str">
        <v>counterparty</v>
      </c>
      <c r="F130" s="94" t="str">
        <v>company_c</v>
      </c>
      <c r="G130" s="93">
        <v>69856.139206512365</v>
      </c>
    </row>
    <row r="131" spans="2:7">
      <c r="B131" s="94" t="str">
        <v>level_2</v>
      </c>
      <c r="C131" s="94" t="str">
        <v>northern cape</v>
      </c>
      <c r="D131" s="94" t="str">
        <v>premium</v>
      </c>
      <c r="E131" s="94" t="str">
        <v>gross charge</v>
      </c>
      <c r="F131" s="94" t="str">
        <v>gross charge</v>
      </c>
      <c r="G131" s="93">
        <v>4348944.7316447366</v>
      </c>
    </row>
    <row r="132" spans="2:7">
      <c r="B132" s="94" t="str">
        <v>level_2</v>
      </c>
      <c r="C132" s="94" t="str">
        <v>northern cape</v>
      </c>
      <c r="D132" s="94" t="str">
        <v>premium</v>
      </c>
      <c r="E132" s="94" t="str">
        <v>net charge</v>
      </c>
      <c r="F132" s="94" t="str">
        <v>net charge</v>
      </c>
      <c r="G132" s="93">
        <v>4068390.9801884196</v>
      </c>
    </row>
    <row r="133" spans="2:7">
      <c r="B133" s="94" t="str">
        <v>level_2</v>
      </c>
      <c r="C133" s="94" t="str">
        <v>northern cape</v>
      </c>
      <c r="D133" s="94" t="str">
        <v>premium</v>
      </c>
      <c r="E133" s="94" t="str">
        <v>calculated net charge</v>
      </c>
      <c r="F133" s="94" t="str">
        <v>calculated net charge</v>
      </c>
      <c r="G133" s="93">
        <v>4025146.1763260402</v>
      </c>
    </row>
    <row r="134" spans="2:7">
      <c r="B134" s="94" t="str">
        <v>level_2</v>
      </c>
      <c r="C134" s="94" t="str">
        <v>northern cape</v>
      </c>
      <c r="D134" s="94" t="str">
        <v>premium</v>
      </c>
      <c r="E134" s="94" t="str">
        <v>counterparty</v>
      </c>
      <c r="F134" s="94" t="str">
        <v>company_a</v>
      </c>
      <c r="G134" s="93">
        <v>173187.99274813477</v>
      </c>
    </row>
    <row r="135" spans="2:7">
      <c r="B135" s="94" t="str">
        <v>level_2</v>
      </c>
      <c r="C135" s="94" t="str">
        <v>northern cape</v>
      </c>
      <c r="D135" s="94" t="str">
        <v>premium</v>
      </c>
      <c r="E135" s="94" t="str">
        <v>counterparty</v>
      </c>
      <c r="F135" s="94" t="str">
        <v>company_b</v>
      </c>
      <c r="G135" s="93">
        <v>137152.4623648636</v>
      </c>
    </row>
    <row r="136" spans="2:7">
      <c r="B136" s="94" t="str">
        <v>level_2</v>
      </c>
      <c r="C136" s="94" t="str">
        <v>western cape</v>
      </c>
      <c r="D136" s="94" t="str">
        <v>premium</v>
      </c>
      <c r="E136" s="94" t="str">
        <v>gross charge</v>
      </c>
      <c r="F136" s="94" t="str">
        <v>gross charge</v>
      </c>
      <c r="G136" s="93">
        <v>3271027.3497874369</v>
      </c>
    </row>
    <row r="137" spans="2:7">
      <c r="B137" s="94" t="str">
        <v>level_2</v>
      </c>
      <c r="C137" s="94" t="str">
        <v>western cape</v>
      </c>
      <c r="D137" s="94" t="str">
        <v>premium</v>
      </c>
      <c r="E137" s="94" t="str">
        <v>net charge</v>
      </c>
      <c r="F137" s="94" t="str">
        <v>net charge</v>
      </c>
      <c r="G137" s="93">
        <v>3035224.0257098069</v>
      </c>
    </row>
    <row r="138" spans="2:7">
      <c r="B138" s="94" t="str">
        <v>level_2</v>
      </c>
      <c r="C138" s="94" t="str">
        <v>western cape</v>
      </c>
      <c r="D138" s="94" t="str">
        <v>premium</v>
      </c>
      <c r="E138" s="94" t="str">
        <v>calculated net charge</v>
      </c>
      <c r="F138" s="94" t="str">
        <v>calculated net charge</v>
      </c>
      <c r="G138" s="93">
        <v>2649699.2330792407</v>
      </c>
    </row>
    <row r="139" spans="2:7">
      <c r="B139" s="94" t="str">
        <v>level_2</v>
      </c>
      <c r="C139" s="94" t="str">
        <v>western cape</v>
      </c>
      <c r="D139" s="94" t="str">
        <v>premium</v>
      </c>
      <c r="E139" s="94" t="str">
        <v>counterparty</v>
      </c>
      <c r="F139" s="94" t="str">
        <v>company_a</v>
      </c>
      <c r="G139" s="93">
        <v>229474.35361293703</v>
      </c>
    </row>
    <row r="140" spans="2:7">
      <c r="B140" s="94" t="str">
        <v>level_2</v>
      </c>
      <c r="C140" s="94" t="str">
        <v>western cape</v>
      </c>
      <c r="D140" s="94" t="str">
        <v>premium</v>
      </c>
      <c r="E140" s="94" t="str">
        <v>counterparty</v>
      </c>
      <c r="F140" s="94" t="str">
        <v>company_b</v>
      </c>
      <c r="G140" s="93">
        <v>252584.79188632593</v>
      </c>
    </row>
    <row r="141" spans="2:7">
      <c r="B141" s="94" t="str">
        <v>level_2</v>
      </c>
      <c r="C141" s="94" t="str">
        <v>western cape</v>
      </c>
      <c r="D141" s="94" t="str">
        <v>premium</v>
      </c>
      <c r="E141" s="94" t="str">
        <v>counterparty</v>
      </c>
      <c r="F141" s="94" t="str">
        <v>company_c</v>
      </c>
      <c r="G141" s="93">
        <v>131631.25864022039</v>
      </c>
    </row>
    <row r="142" spans="2:7">
      <c r="B142" s="94" t="str">
        <v>__overall__</v>
      </c>
      <c r="C142" s="94" t="str">
        <v>__overall__</v>
      </c>
      <c r="D142" s="94" t="str">
        <v>reserve</v>
      </c>
      <c r="E142" s="94" t="str">
        <v>gross charge</v>
      </c>
      <c r="F142" s="94" t="str">
        <v>gross charge</v>
      </c>
      <c r="G142" s="93">
        <v>8321100.1445485316</v>
      </c>
    </row>
    <row r="143" spans="2:7">
      <c r="B143" s="94" t="str">
        <v>__overall__</v>
      </c>
      <c r="C143" s="94" t="str">
        <v>__overall__</v>
      </c>
      <c r="D143" s="94" t="str">
        <v>reserve</v>
      </c>
      <c r="E143" s="94" t="str">
        <v>net charge</v>
      </c>
      <c r="F143" s="94" t="str">
        <v>net charge</v>
      </c>
      <c r="G143" s="93">
        <v>6926781.159025169</v>
      </c>
    </row>
    <row r="144" spans="2:7">
      <c r="B144" s="94" t="str">
        <v>__overall__</v>
      </c>
      <c r="C144" s="94" t="str">
        <v>__overall__</v>
      </c>
      <c r="D144" s="94" t="str">
        <v>reserve</v>
      </c>
      <c r="E144" s="94" t="str">
        <v>calculated net charge</v>
      </c>
      <c r="F144" s="94" t="str">
        <v>calculated net charge</v>
      </c>
      <c r="G144" s="93">
        <v>7054112.71145292</v>
      </c>
    </row>
    <row r="145" spans="2:7">
      <c r="B145" s="94" t="str">
        <v>__overall__</v>
      </c>
      <c r="C145" s="94" t="str">
        <v>__overall__</v>
      </c>
      <c r="D145" s="94" t="str">
        <v>reserve</v>
      </c>
      <c r="E145" s="94" t="str">
        <v>counterparty</v>
      </c>
      <c r="F145" s="94" t="str">
        <v>company_a</v>
      </c>
      <c r="G145" s="93">
        <v>541378.22432607133</v>
      </c>
    </row>
    <row r="146" spans="2:7">
      <c r="B146" s="94" t="str">
        <v>__overall__</v>
      </c>
      <c r="C146" s="94" t="str">
        <v>__overall__</v>
      </c>
      <c r="D146" s="94" t="str">
        <v>reserve</v>
      </c>
      <c r="E146" s="94" t="str">
        <v>counterparty</v>
      </c>
      <c r="F146" s="94" t="str">
        <v>company_b</v>
      </c>
      <c r="G146" s="93">
        <v>534391.76812191028</v>
      </c>
    </row>
    <row r="147" spans="2:7">
      <c r="B147" s="94" t="str">
        <v>__overall__</v>
      </c>
      <c r="C147" s="94" t="str">
        <v>__overall__</v>
      </c>
      <c r="D147" s="94" t="str">
        <v>reserve</v>
      </c>
      <c r="E147" s="94" t="str">
        <v>counterparty</v>
      </c>
      <c r="F147" s="94" t="str">
        <v>company_c</v>
      </c>
      <c r="G147" s="93">
        <v>185457.82283468544</v>
      </c>
    </row>
    <row r="148" spans="2:7">
      <c r="B148" s="94" t="str">
        <v>level_1</v>
      </c>
      <c r="C148" s="94" t="str">
        <v>direct</v>
      </c>
      <c r="D148" s="94" t="str">
        <v>reserve</v>
      </c>
      <c r="E148" s="94" t="str">
        <v>gross charge</v>
      </c>
      <c r="F148" s="94" t="str">
        <v>gross charge</v>
      </c>
      <c r="G148" s="93">
        <v>4171479.8447334501</v>
      </c>
    </row>
    <row r="149" spans="2:7">
      <c r="B149" s="94" t="str">
        <v>level_1</v>
      </c>
      <c r="C149" s="94" t="str">
        <v>direct</v>
      </c>
      <c r="D149" s="94" t="str">
        <v>reserve</v>
      </c>
      <c r="E149" s="94" t="str">
        <v>net charge</v>
      </c>
      <c r="F149" s="94" t="str">
        <v>net charge</v>
      </c>
      <c r="G149" s="93">
        <v>3720456.2583134649</v>
      </c>
    </row>
    <row r="150" spans="2:7">
      <c r="B150" s="94" t="str">
        <v>level_1</v>
      </c>
      <c r="C150" s="94" t="str">
        <v>direct</v>
      </c>
      <c r="D150" s="94" t="str">
        <v>reserve</v>
      </c>
      <c r="E150" s="94" t="str">
        <v>calculated net charge</v>
      </c>
      <c r="F150" s="94" t="str">
        <v>calculated net charge</v>
      </c>
      <c r="G150" s="93">
        <v>3759233.1292030094</v>
      </c>
    </row>
    <row r="151" spans="2:7">
      <c r="B151" s="94" t="str">
        <v>level_1</v>
      </c>
      <c r="C151" s="94" t="str">
        <v>direct</v>
      </c>
      <c r="D151" s="94" t="str">
        <v>reserve</v>
      </c>
      <c r="E151" s="94" t="str">
        <v>counterparty</v>
      </c>
      <c r="F151" s="94" t="str">
        <v>company_a</v>
      </c>
      <c r="G151" s="93">
        <v>141852.09681664081</v>
      </c>
    </row>
    <row r="152" spans="2:7">
      <c r="B152" s="94" t="str">
        <v>level_1</v>
      </c>
      <c r="C152" s="94" t="str">
        <v>direct</v>
      </c>
      <c r="D152" s="94" t="str">
        <v>reserve</v>
      </c>
      <c r="E152" s="94" t="str">
        <v>counterparty</v>
      </c>
      <c r="F152" s="94" t="str">
        <v>company_b</v>
      </c>
      <c r="G152" s="93">
        <v>168028.08533683512</v>
      </c>
    </row>
    <row r="153" spans="2:7">
      <c r="B153" s="94" t="str">
        <v>level_1</v>
      </c>
      <c r="C153" s="94" t="str">
        <v>direct</v>
      </c>
      <c r="D153" s="94" t="str">
        <v>reserve</v>
      </c>
      <c r="E153" s="94" t="str">
        <v>counterparty</v>
      </c>
      <c r="F153" s="94" t="str">
        <v>company_c</v>
      </c>
      <c r="G153" s="93">
        <v>99652.780528984033</v>
      </c>
    </row>
    <row r="154" spans="2:7">
      <c r="B154" s="94" t="str">
        <v>level_1</v>
      </c>
      <c r="C154" s="94" t="str">
        <v>intermediated</v>
      </c>
      <c r="D154" s="94" t="str">
        <v>reserve</v>
      </c>
      <c r="E154" s="94" t="str">
        <v>gross charge</v>
      </c>
      <c r="F154" s="94" t="str">
        <v>gross charge</v>
      </c>
      <c r="G154" s="93">
        <v>1588930.1932599782</v>
      </c>
    </row>
    <row r="155" spans="2:7">
      <c r="B155" s="94" t="str">
        <v>level_1</v>
      </c>
      <c r="C155" s="94" t="str">
        <v>intermediated</v>
      </c>
      <c r="D155" s="94" t="str">
        <v>reserve</v>
      </c>
      <c r="E155" s="94" t="str">
        <v>net charge</v>
      </c>
      <c r="F155" s="94" t="str">
        <v>net charge</v>
      </c>
      <c r="G155" s="93">
        <v>1093290.552658394</v>
      </c>
    </row>
    <row r="156" spans="2:7">
      <c r="B156" s="94" t="str">
        <v>level_1</v>
      </c>
      <c r="C156" s="94" t="str">
        <v>intermediated</v>
      </c>
      <c r="D156" s="94" t="str">
        <v>reserve</v>
      </c>
      <c r="E156" s="94" t="str">
        <v>calculated net charge</v>
      </c>
      <c r="F156" s="94" t="str">
        <v>calculated net charge</v>
      </c>
      <c r="G156" s="93">
        <v>1138322.5655842416</v>
      </c>
    </row>
    <row r="157" spans="2:7">
      <c r="B157" s="94" t="str">
        <v>level_1</v>
      </c>
      <c r="C157" s="94" t="str">
        <v>intermediated</v>
      </c>
      <c r="D157" s="94" t="str">
        <v>reserve</v>
      </c>
      <c r="E157" s="94" t="str">
        <v>counterparty</v>
      </c>
      <c r="F157" s="94" t="str">
        <v>company_a</v>
      </c>
      <c r="G157" s="93">
        <v>213571.96596788056</v>
      </c>
    </row>
    <row r="158" spans="2:7">
      <c r="B158" s="94" t="str">
        <v>level_1</v>
      </c>
      <c r="C158" s="94" t="str">
        <v>intermediated</v>
      </c>
      <c r="D158" s="94" t="str">
        <v>reserve</v>
      </c>
      <c r="E158" s="94" t="str">
        <v>counterparty</v>
      </c>
      <c r="F158" s="94" t="str">
        <v>company_b</v>
      </c>
      <c r="G158" s="93">
        <v>190937.76689279196</v>
      </c>
    </row>
    <row r="159" spans="2:7">
      <c r="B159" s="94" t="str">
        <v>level_1</v>
      </c>
      <c r="C159" s="94" t="str">
        <v>intermediated</v>
      </c>
      <c r="D159" s="94" t="str">
        <v>reserve</v>
      </c>
      <c r="E159" s="94" t="str">
        <v>counterparty</v>
      </c>
      <c r="F159" s="94" t="str">
        <v>company_c</v>
      </c>
      <c r="G159" s="93">
        <v>41038.739442195976</v>
      </c>
    </row>
    <row r="160" spans="2:7">
      <c r="B160" s="94" t="str">
        <v>level_1</v>
      </c>
      <c r="C160" s="94" t="str">
        <v>partnerships</v>
      </c>
      <c r="D160" s="94" t="str">
        <v>reserve</v>
      </c>
      <c r="E160" s="94" t="str">
        <v>gross charge</v>
      </c>
      <c r="F160" s="94" t="str">
        <v>gross charge</v>
      </c>
      <c r="G160" s="93">
        <v>201761.33670000001</v>
      </c>
    </row>
    <row r="161" spans="2:7">
      <c r="B161" s="94" t="str">
        <v>level_1</v>
      </c>
      <c r="C161" s="94" t="str">
        <v>partnerships</v>
      </c>
      <c r="D161" s="94" t="str">
        <v>reserve</v>
      </c>
      <c r="E161" s="94" t="str">
        <v>net charge</v>
      </c>
      <c r="F161" s="94" t="str">
        <v>net charge</v>
      </c>
      <c r="G161" s="93">
        <v>201761.33670000001</v>
      </c>
    </row>
    <row r="162" spans="2:7">
      <c r="B162" s="94" t="str">
        <v>level_1</v>
      </c>
      <c r="C162" s="94" t="str">
        <v>partnerships</v>
      </c>
      <c r="D162" s="94" t="str">
        <v>reserve</v>
      </c>
      <c r="E162" s="94" t="str">
        <v>calculated net charge</v>
      </c>
      <c r="F162" s="94" t="str">
        <v>calculated net charge</v>
      </c>
      <c r="G162" s="93">
        <v>201761.33670000001</v>
      </c>
    </row>
    <row r="163" spans="2:7">
      <c r="B163" s="94" t="str">
        <v>level_1</v>
      </c>
      <c r="C163" s="94" t="str">
        <v>specialised</v>
      </c>
      <c r="D163" s="94" t="str">
        <v>reserve</v>
      </c>
      <c r="E163" s="94" t="str">
        <v>gross charge</v>
      </c>
      <c r="F163" s="94" t="str">
        <v>gross charge</v>
      </c>
      <c r="G163" s="93">
        <v>3034129.9573273254</v>
      </c>
    </row>
    <row r="164" spans="2:7">
      <c r="B164" s="94" t="str">
        <v>level_1</v>
      </c>
      <c r="C164" s="94" t="str">
        <v>specialised</v>
      </c>
      <c r="D164" s="94" t="str">
        <v>reserve</v>
      </c>
      <c r="E164" s="94" t="str">
        <v>net charge</v>
      </c>
      <c r="F164" s="94" t="str">
        <v>net charge</v>
      </c>
      <c r="G164" s="93">
        <v>2455405.5779135581</v>
      </c>
    </row>
    <row r="165" spans="2:7">
      <c r="B165" s="94" t="str">
        <v>level_1</v>
      </c>
      <c r="C165" s="94" t="str">
        <v>specialised</v>
      </c>
      <c r="D165" s="94" t="str">
        <v>reserve</v>
      </c>
      <c r="E165" s="94" t="str">
        <v>calculated net charge</v>
      </c>
      <c r="F165" s="94" t="str">
        <v>calculated net charge</v>
      </c>
      <c r="G165" s="93">
        <v>2507018.5387761025</v>
      </c>
    </row>
    <row r="166" spans="2:7">
      <c r="B166" s="94" t="str">
        <v>level_1</v>
      </c>
      <c r="C166" s="94" t="str">
        <v>specialised</v>
      </c>
      <c r="D166" s="94" t="str">
        <v>reserve</v>
      </c>
      <c r="E166" s="94" t="str">
        <v>counterparty</v>
      </c>
      <c r="F166" s="94" t="str">
        <v>company_a</v>
      </c>
      <c r="G166" s="93">
        <v>235844.10092952661</v>
      </c>
    </row>
    <row r="167" spans="2:7">
      <c r="B167" s="94" t="str">
        <v>level_1</v>
      </c>
      <c r="C167" s="94" t="str">
        <v>specialised</v>
      </c>
      <c r="D167" s="94" t="str">
        <v>reserve</v>
      </c>
      <c r="E167" s="94" t="str">
        <v>counterparty</v>
      </c>
      <c r="F167" s="94" t="str">
        <v>company_b</v>
      </c>
      <c r="G167" s="93">
        <v>220388.08140829438</v>
      </c>
    </row>
    <row r="168" spans="2:7">
      <c r="B168" s="94" t="str">
        <v>level_1</v>
      </c>
      <c r="C168" s="94" t="str">
        <v>specialised</v>
      </c>
      <c r="D168" s="94" t="str">
        <v>reserve</v>
      </c>
      <c r="E168" s="94" t="str">
        <v>counterparty</v>
      </c>
      <c r="F168" s="94" t="str">
        <v>company_c</v>
      </c>
      <c r="G168" s="93">
        <v>61224.765188174788</v>
      </c>
    </row>
    <row r="169" spans="2:7">
      <c r="B169" s="94" t="str">
        <v>level_2</v>
      </c>
      <c r="C169" s="94" t="str">
        <v>gauteng</v>
      </c>
      <c r="D169" s="94" t="str">
        <v>reserve</v>
      </c>
      <c r="E169" s="94" t="str">
        <v>gross charge</v>
      </c>
      <c r="F169" s="94" t="str">
        <v>gross charge</v>
      </c>
      <c r="G169" s="93">
        <v>578086.5970245793</v>
      </c>
    </row>
    <row r="170" spans="2:7">
      <c r="B170" s="94" t="str">
        <v>level_2</v>
      </c>
      <c r="C170" s="94" t="str">
        <v>gauteng</v>
      </c>
      <c r="D170" s="94" t="str">
        <v>reserve</v>
      </c>
      <c r="E170" s="94" t="str">
        <v>net charge</v>
      </c>
      <c r="F170" s="94" t="str">
        <v>net charge</v>
      </c>
      <c r="G170" s="93">
        <v>289043.29851228965</v>
      </c>
    </row>
    <row r="171" spans="2:7">
      <c r="B171" s="94" t="str">
        <v>level_2</v>
      </c>
      <c r="C171" s="94" t="str">
        <v>gauteng</v>
      </c>
      <c r="D171" s="94" t="str">
        <v>reserve</v>
      </c>
      <c r="E171" s="94" t="str">
        <v>calculated net charge</v>
      </c>
      <c r="F171" s="94" t="str">
        <v>calculated net charge</v>
      </c>
      <c r="G171" s="93">
        <v>317947.62836351863</v>
      </c>
    </row>
    <row r="172" spans="2:7">
      <c r="B172" s="94" t="str">
        <v>level_2</v>
      </c>
      <c r="C172" s="94" t="str">
        <v>gauteng</v>
      </c>
      <c r="D172" s="94" t="str">
        <v>reserve</v>
      </c>
      <c r="E172" s="94" t="str">
        <v>counterparty</v>
      </c>
      <c r="F172" s="94" t="str">
        <v>company_a</v>
      </c>
      <c r="G172" s="93">
        <v>144521.64925614488</v>
      </c>
    </row>
    <row r="173" spans="2:7">
      <c r="B173" s="94" t="str">
        <v>level_2</v>
      </c>
      <c r="C173" s="94" t="str">
        <v>gauteng</v>
      </c>
      <c r="D173" s="94" t="str">
        <v>reserve</v>
      </c>
      <c r="E173" s="94" t="str">
        <v>counterparty</v>
      </c>
      <c r="F173" s="94" t="str">
        <v>company_b</v>
      </c>
      <c r="G173" s="93">
        <v>115617.31940491585</v>
      </c>
    </row>
    <row r="174" spans="2:7">
      <c r="B174" s="94" t="str">
        <v>level_2</v>
      </c>
      <c r="C174" s="94" t="str">
        <v>kzn</v>
      </c>
      <c r="D174" s="94" t="str">
        <v>reserve</v>
      </c>
      <c r="E174" s="94" t="str">
        <v>gross charge</v>
      </c>
      <c r="F174" s="94" t="str">
        <v>gross charge</v>
      </c>
      <c r="G174" s="93">
        <v>301841.24378533068</v>
      </c>
    </row>
    <row r="175" spans="2:7">
      <c r="B175" s="94" t="str">
        <v>level_2</v>
      </c>
      <c r="C175" s="94" t="str">
        <v>kzn</v>
      </c>
      <c r="D175" s="94" t="str">
        <v>reserve</v>
      </c>
      <c r="E175" s="94" t="str">
        <v>net charge</v>
      </c>
      <c r="F175" s="94" t="str">
        <v>net charge</v>
      </c>
      <c r="G175" s="93">
        <v>301841.24378533068</v>
      </c>
    </row>
    <row r="176" spans="2:7">
      <c r="B176" s="94" t="str">
        <v>level_2</v>
      </c>
      <c r="C176" s="94" t="str">
        <v>kzn</v>
      </c>
      <c r="D176" s="94" t="str">
        <v>reserve</v>
      </c>
      <c r="E176" s="94" t="str">
        <v>calculated net charge</v>
      </c>
      <c r="F176" s="94" t="str">
        <v>calculated net charge</v>
      </c>
      <c r="G176" s="93">
        <v>301841.24378533068</v>
      </c>
    </row>
    <row r="177" spans="2:7">
      <c r="B177" s="94" t="str">
        <v>level_2</v>
      </c>
      <c r="C177" s="94" t="str">
        <v>limpopo</v>
      </c>
      <c r="D177" s="94" t="str">
        <v>reserve</v>
      </c>
      <c r="E177" s="94" t="str">
        <v>gross charge</v>
      </c>
      <c r="F177" s="94" t="str">
        <v>gross charge</v>
      </c>
      <c r="G177" s="93">
        <v>1720299.7698258434</v>
      </c>
    </row>
    <row r="178" spans="2:7">
      <c r="B178" s="94" t="str">
        <v>level_2</v>
      </c>
      <c r="C178" s="94" t="str">
        <v>limpopo</v>
      </c>
      <c r="D178" s="94" t="str">
        <v>reserve</v>
      </c>
      <c r="E178" s="94" t="str">
        <v>net charge</v>
      </c>
      <c r="F178" s="94" t="str">
        <v>net charge</v>
      </c>
      <c r="G178" s="93">
        <v>1585929.9032224701</v>
      </c>
    </row>
    <row r="179" spans="2:7">
      <c r="B179" s="94" t="str">
        <v>level_2</v>
      </c>
      <c r="C179" s="94" t="str">
        <v>limpopo</v>
      </c>
      <c r="D179" s="94" t="str">
        <v>reserve</v>
      </c>
      <c r="E179" s="94" t="str">
        <v>calculated net charge</v>
      </c>
      <c r="F179" s="94" t="str">
        <v>calculated net charge</v>
      </c>
      <c r="G179" s="93">
        <v>1594785.1947030118</v>
      </c>
    </row>
    <row r="180" spans="2:7">
      <c r="B180" s="94" t="str">
        <v>level_2</v>
      </c>
      <c r="C180" s="94" t="str">
        <v>limpopo</v>
      </c>
      <c r="D180" s="94" t="str">
        <v>reserve</v>
      </c>
      <c r="E180" s="94" t="str">
        <v>counterparty</v>
      </c>
      <c r="F180" s="94" t="str">
        <v>company_b</v>
      </c>
      <c r="G180" s="93">
        <v>44507.315890196478</v>
      </c>
    </row>
    <row r="181" spans="2:7">
      <c r="B181" s="94" t="str">
        <v>level_2</v>
      </c>
      <c r="C181" s="94" t="str">
        <v>limpopo</v>
      </c>
      <c r="D181" s="94" t="str">
        <v>reserve</v>
      </c>
      <c r="E181" s="94" t="str">
        <v>counterparty</v>
      </c>
      <c r="F181" s="94" t="str">
        <v>company_c</v>
      </c>
      <c r="G181" s="93">
        <v>80375.458942173049</v>
      </c>
    </row>
    <row r="182" spans="2:7">
      <c r="B182" s="94" t="str">
        <v>level_2</v>
      </c>
      <c r="C182" s="94" t="str">
        <v>north west</v>
      </c>
      <c r="D182" s="94" t="str">
        <v>reserve</v>
      </c>
      <c r="E182" s="94" t="str">
        <v>gross charge</v>
      </c>
      <c r="F182" s="94" t="str">
        <v>gross charge</v>
      </c>
      <c r="G182" s="93">
        <v>1685290.9192192103</v>
      </c>
    </row>
    <row r="183" spans="2:7">
      <c r="B183" s="94" t="str">
        <v>level_2</v>
      </c>
      <c r="C183" s="94" t="str">
        <v>north west</v>
      </c>
      <c r="D183" s="94" t="str">
        <v>reserve</v>
      </c>
      <c r="E183" s="94" t="str">
        <v>net charge</v>
      </c>
      <c r="F183" s="94" t="str">
        <v>net charge</v>
      </c>
      <c r="G183" s="93">
        <v>1327861.4670349215</v>
      </c>
    </row>
    <row r="184" spans="2:7">
      <c r="B184" s="94" t="str">
        <v>level_2</v>
      </c>
      <c r="C184" s="94" t="str">
        <v>north west</v>
      </c>
      <c r="D184" s="94" t="str">
        <v>reserve</v>
      </c>
      <c r="E184" s="94" t="str">
        <v>calculated net charge</v>
      </c>
      <c r="F184" s="94" t="str">
        <v>calculated net charge</v>
      </c>
      <c r="G184" s="93">
        <v>1360981.9501292994</v>
      </c>
    </row>
    <row r="185" spans="2:7">
      <c r="B185" s="94" t="str">
        <v>level_2</v>
      </c>
      <c r="C185" s="94" t="str">
        <v>north west</v>
      </c>
      <c r="D185" s="94" t="str">
        <v>reserve</v>
      </c>
      <c r="E185" s="94" t="str">
        <v>counterparty</v>
      </c>
      <c r="F185" s="94" t="str">
        <v>company_a</v>
      </c>
      <c r="G185" s="93">
        <v>175147.81622161414</v>
      </c>
    </row>
    <row r="186" spans="2:7">
      <c r="B186" s="94" t="str">
        <v>level_2</v>
      </c>
      <c r="C186" s="94" t="str">
        <v>north west</v>
      </c>
      <c r="D186" s="94" t="str">
        <v>reserve</v>
      </c>
      <c r="E186" s="94" t="str">
        <v>counterparty</v>
      </c>
      <c r="F186" s="94" t="str">
        <v>company_b</v>
      </c>
      <c r="G186" s="93">
        <v>138992.80216928618</v>
      </c>
    </row>
    <row r="187" spans="2:7">
      <c r="B187" s="94" t="str">
        <v>level_2</v>
      </c>
      <c r="C187" s="94" t="str">
        <v>eastern cape</v>
      </c>
      <c r="D187" s="94" t="str">
        <v>reserve</v>
      </c>
      <c r="E187" s="94" t="str">
        <v>gross charge</v>
      </c>
      <c r="F187" s="94" t="str">
        <v>gross charge</v>
      </c>
      <c r="G187" s="93">
        <v>1027948.0971655734</v>
      </c>
    </row>
    <row r="188" spans="2:7">
      <c r="B188" s="94" t="str">
        <v>level_2</v>
      </c>
      <c r="C188" s="94" t="str">
        <v>eastern cape</v>
      </c>
      <c r="D188" s="94" t="str">
        <v>reserve</v>
      </c>
      <c r="E188" s="94" t="str">
        <v>net charge</v>
      </c>
      <c r="F188" s="94" t="str">
        <v>net charge</v>
      </c>
      <c r="G188" s="93">
        <v>947334.54987405194</v>
      </c>
    </row>
    <row r="189" spans="2:7">
      <c r="B189" s="94" t="str">
        <v>level_2</v>
      </c>
      <c r="C189" s="94" t="str">
        <v>eastern cape</v>
      </c>
      <c r="D189" s="94" t="str">
        <v>reserve</v>
      </c>
      <c r="E189" s="94" t="str">
        <v>calculated net charge</v>
      </c>
      <c r="F189" s="94" t="str">
        <v>calculated net charge</v>
      </c>
      <c r="G189" s="93">
        <v>952618.01922201412</v>
      </c>
    </row>
    <row r="190" spans="2:7">
      <c r="B190" s="94" t="str">
        <v>level_2</v>
      </c>
      <c r="C190" s="94" t="str">
        <v>eastern cape</v>
      </c>
      <c r="D190" s="94" t="str">
        <v>reserve</v>
      </c>
      <c r="E190" s="94" t="str">
        <v>counterparty</v>
      </c>
      <c r="F190" s="94" t="str">
        <v>company_b</v>
      </c>
      <c r="G190" s="93">
        <v>26621.408536268864</v>
      </c>
    </row>
    <row r="191" spans="2:7">
      <c r="B191" s="94" t="str">
        <v>level_2</v>
      </c>
      <c r="C191" s="94" t="str">
        <v>eastern cape</v>
      </c>
      <c r="D191" s="94" t="str">
        <v>reserve</v>
      </c>
      <c r="E191" s="94" t="str">
        <v>counterparty</v>
      </c>
      <c r="F191" s="94" t="str">
        <v>company_c</v>
      </c>
      <c r="G191" s="93">
        <v>48150.356860960717</v>
      </c>
    </row>
    <row r="192" spans="2:7">
      <c r="B192" s="94" t="str">
        <v>level_2</v>
      </c>
      <c r="C192" s="94" t="str">
        <v>free state</v>
      </c>
      <c r="D192" s="94" t="str">
        <v>reserve</v>
      </c>
      <c r="E192" s="94" t="str">
        <v>gross charge</v>
      </c>
      <c r="F192" s="94" t="str">
        <v>gross charge</v>
      </c>
      <c r="G192" s="93">
        <v>1164469.3237679324</v>
      </c>
    </row>
    <row r="193" spans="2:7">
      <c r="B193" s="94" t="str">
        <v>level_2</v>
      </c>
      <c r="C193" s="94" t="str">
        <v>free state</v>
      </c>
      <c r="D193" s="94" t="str">
        <v>reserve</v>
      </c>
      <c r="E193" s="94" t="str">
        <v>net charge</v>
      </c>
      <c r="F193" s="94" t="str">
        <v>net charge</v>
      </c>
      <c r="G193" s="93">
        <v>954163.31322392577</v>
      </c>
    </row>
    <row r="194" spans="2:7">
      <c r="B194" s="94" t="str">
        <v>level_2</v>
      </c>
      <c r="C194" s="94" t="str">
        <v>free state</v>
      </c>
      <c r="D194" s="94" t="str">
        <v>reserve</v>
      </c>
      <c r="E194" s="94" t="str">
        <v>calculated net charge</v>
      </c>
      <c r="F194" s="94" t="str">
        <v>calculated net charge</v>
      </c>
      <c r="G194" s="93">
        <v>971760.54279439407</v>
      </c>
    </row>
    <row r="195" spans="2:7">
      <c r="B195" s="94" t="str">
        <v>level_2</v>
      </c>
      <c r="C195" s="94" t="str">
        <v>free state</v>
      </c>
      <c r="D195" s="94" t="str">
        <v>reserve</v>
      </c>
      <c r="E195" s="94" t="str">
        <v>counterparty</v>
      </c>
      <c r="F195" s="94" t="str">
        <v>company_a</v>
      </c>
      <c r="G195" s="93">
        <v>63764.782872602693</v>
      </c>
    </row>
    <row r="196" spans="2:7">
      <c r="B196" s="94" t="str">
        <v>level_2</v>
      </c>
      <c r="C196" s="94" t="str">
        <v>free state</v>
      </c>
      <c r="D196" s="94" t="str">
        <v>reserve</v>
      </c>
      <c r="E196" s="94" t="str">
        <v>counterparty</v>
      </c>
      <c r="F196" s="94" t="str">
        <v>company_b</v>
      </c>
      <c r="G196" s="93">
        <v>77626.177330386126</v>
      </c>
    </row>
    <row r="197" spans="2:7">
      <c r="B197" s="94" t="str">
        <v>level_2</v>
      </c>
      <c r="C197" s="94" t="str">
        <v>free state</v>
      </c>
      <c r="D197" s="94" t="str">
        <v>reserve</v>
      </c>
      <c r="E197" s="94" t="str">
        <v>counterparty</v>
      </c>
      <c r="F197" s="94" t="str">
        <v>company_c</v>
      </c>
      <c r="G197" s="93">
        <v>50222.69607973774</v>
      </c>
    </row>
    <row r="198" spans="2:7">
      <c r="B198" s="94" t="str">
        <v>level_2</v>
      </c>
      <c r="C198" s="94" t="str">
        <v>northern cape</v>
      </c>
      <c r="D198" s="94" t="str">
        <v>reserve</v>
      </c>
      <c r="E198" s="94" t="str">
        <v>gross charge</v>
      </c>
      <c r="F198" s="94" t="str">
        <v>gross charge</v>
      </c>
      <c r="G198" s="93">
        <v>1694783.402692073</v>
      </c>
    </row>
    <row r="199" spans="2:7">
      <c r="B199" s="94" t="str">
        <v>level_2</v>
      </c>
      <c r="C199" s="94" t="str">
        <v>northern cape</v>
      </c>
      <c r="D199" s="94" t="str">
        <v>reserve</v>
      </c>
      <c r="E199" s="94" t="str">
        <v>net charge</v>
      </c>
      <c r="F199" s="94" t="str">
        <v>net charge</v>
      </c>
      <c r="G199" s="93">
        <v>1630385.5219585015</v>
      </c>
    </row>
    <row r="200" spans="2:7">
      <c r="B200" s="94" t="str">
        <v>level_2</v>
      </c>
      <c r="C200" s="94" t="str">
        <v>northern cape</v>
      </c>
      <c r="D200" s="94" t="str">
        <v>reserve</v>
      </c>
      <c r="E200" s="94" t="str">
        <v>calculated net charge</v>
      </c>
      <c r="F200" s="94" t="str">
        <v>calculated net charge</v>
      </c>
      <c r="G200" s="93">
        <v>1636426.4653383472</v>
      </c>
    </row>
    <row r="201" spans="2:7">
      <c r="B201" s="94" t="str">
        <v>level_2</v>
      </c>
      <c r="C201" s="94" t="str">
        <v>northern cape</v>
      </c>
      <c r="D201" s="94" t="str">
        <v>reserve</v>
      </c>
      <c r="E201" s="94" t="str">
        <v>counterparty</v>
      </c>
      <c r="F201" s="94" t="str">
        <v>company_a</v>
      </c>
      <c r="G201" s="93">
        <v>31554.519010415766</v>
      </c>
    </row>
    <row r="202" spans="2:7">
      <c r="B202" s="94" t="str">
        <v>level_2</v>
      </c>
      <c r="C202" s="94" t="str">
        <v>northern cape</v>
      </c>
      <c r="D202" s="94" t="str">
        <v>reserve</v>
      </c>
      <c r="E202" s="94" t="str">
        <v>counterparty</v>
      </c>
      <c r="F202" s="94" t="str">
        <v>company_b</v>
      </c>
      <c r="G202" s="93">
        <v>25067.03522609151</v>
      </c>
    </row>
    <row r="203" spans="2:7">
      <c r="B203" s="94" t="str">
        <v>level_2</v>
      </c>
      <c r="C203" s="94" t="str">
        <v>western cape</v>
      </c>
      <c r="D203" s="94" t="str">
        <v>reserve</v>
      </c>
      <c r="E203" s="94" t="str">
        <v>gross charge</v>
      </c>
      <c r="F203" s="94" t="str">
        <v>gross charge</v>
      </c>
      <c r="G203" s="93">
        <v>1909247.3911721392</v>
      </c>
    </row>
    <row r="204" spans="2:7">
      <c r="B204" s="94" t="str">
        <v>level_2</v>
      </c>
      <c r="C204" s="94" t="str">
        <v>western cape</v>
      </c>
      <c r="D204" s="94" t="str">
        <v>reserve</v>
      </c>
      <c r="E204" s="94" t="str">
        <v>net charge</v>
      </c>
      <c r="F204" s="94" t="str">
        <v>net charge</v>
      </c>
      <c r="G204" s="93">
        <v>1290354.8199552614</v>
      </c>
    </row>
    <row r="205" spans="2:7">
      <c r="B205" s="94" t="str">
        <v>level_2</v>
      </c>
      <c r="C205" s="94" t="str">
        <v>western cape</v>
      </c>
      <c r="D205" s="94" t="str">
        <v>reserve</v>
      </c>
      <c r="E205" s="94" t="str">
        <v>calculated net charge</v>
      </c>
      <c r="F205" s="94" t="str">
        <v>calculated net charge</v>
      </c>
      <c r="G205" s="93">
        <v>1346680.7057998679</v>
      </c>
    </row>
    <row r="206" spans="2:7">
      <c r="B206" s="94" t="str">
        <v>level_2</v>
      </c>
      <c r="C206" s="94" t="str">
        <v>western cape</v>
      </c>
      <c r="D206" s="94" t="str">
        <v>reserve</v>
      </c>
      <c r="E206" s="94" t="str">
        <v>counterparty</v>
      </c>
      <c r="F206" s="94" t="str">
        <v>company_a</v>
      </c>
      <c r="G206" s="93">
        <v>268297.54044227116</v>
      </c>
    </row>
    <row r="207" spans="2:7">
      <c r="B207" s="94" t="str">
        <v>level_2</v>
      </c>
      <c r="C207" s="94" t="str">
        <v>western cape</v>
      </c>
      <c r="D207" s="94" t="str">
        <v>reserve</v>
      </c>
      <c r="E207" s="94" t="str">
        <v>counterparty</v>
      </c>
      <c r="F207" s="94" t="str">
        <v>company_b</v>
      </c>
      <c r="G207" s="93">
        <v>238691.08926775982</v>
      </c>
    </row>
    <row r="208" spans="2:7">
      <c r="B208" s="97" t="str">
        <v>level_2</v>
      </c>
      <c r="C208" s="97" t="str">
        <v>western cape</v>
      </c>
      <c r="D208" s="97" t="str">
        <v>reserve</v>
      </c>
      <c r="E208" s="97" t="str">
        <v>counterparty</v>
      </c>
      <c r="F208" s="97" t="str">
        <v>company_c</v>
      </c>
      <c r="G208" s="98">
        <v>49914.361339266412</v>
      </c>
    </row>
    <row r="209" spans="2:7">
      <c r="B209" s="95"/>
      <c r="C209" s="95"/>
      <c r="D209" s="95"/>
      <c r="E209" s="95"/>
      <c r="F209" s="95"/>
      <c r="G209" s="88"/>
    </row>
    <row r="210" spans="2:7">
      <c r="B210" s="4"/>
      <c r="C210" s="4"/>
      <c r="D210" s="4"/>
      <c r="E210" s="4"/>
      <c r="F210" s="4"/>
      <c r="G210" s="13"/>
    </row>
    <row r="211" spans="2:7">
      <c r="B211" s="4"/>
      <c r="C211" s="4"/>
      <c r="D211" s="4"/>
      <c r="E211" s="4"/>
      <c r="F211" s="4"/>
      <c r="G211" s="13"/>
    </row>
    <row r="212" spans="2:7">
      <c r="B212" s="4"/>
      <c r="C212" s="4"/>
      <c r="D212" s="4"/>
      <c r="E212" s="4"/>
      <c r="F212" s="4"/>
      <c r="G212" s="13"/>
    </row>
    <row r="213" spans="2:7">
      <c r="B213" s="4"/>
      <c r="C213" s="4"/>
      <c r="D213" s="4"/>
      <c r="E213" s="4"/>
      <c r="F213" s="4"/>
      <c r="G213" s="13"/>
    </row>
    <row r="214" spans="2:7">
      <c r="B214" s="4"/>
      <c r="C214" s="4"/>
      <c r="D214" s="4"/>
      <c r="E214" s="4"/>
      <c r="F214" s="4"/>
      <c r="G214" s="13"/>
    </row>
    <row r="215" spans="2:7">
      <c r="B215" s="4"/>
      <c r="C215" s="4"/>
      <c r="D215" s="4"/>
      <c r="E215" s="4"/>
      <c r="F215" s="4"/>
      <c r="G215" s="13"/>
    </row>
    <row r="216" spans="2:7">
      <c r="B216" s="4"/>
      <c r="C216" s="4"/>
      <c r="D216" s="4"/>
      <c r="E216" s="4"/>
      <c r="F216" s="4"/>
      <c r="G216" s="13"/>
    </row>
    <row r="217" spans="2:7">
      <c r="B217" s="4"/>
      <c r="C217" s="4"/>
      <c r="D217" s="4"/>
      <c r="E217" s="4"/>
      <c r="F217" s="4"/>
      <c r="G217" s="13"/>
    </row>
    <row r="218" spans="2:7">
      <c r="B218" s="4"/>
      <c r="C218" s="4"/>
      <c r="D218" s="4"/>
      <c r="E218" s="4"/>
      <c r="F218" s="4"/>
      <c r="G218" s="13"/>
    </row>
    <row r="219" spans="2:7">
      <c r="B219" s="4"/>
      <c r="C219" s="4"/>
      <c r="D219" s="4"/>
      <c r="E219" s="4"/>
      <c r="F219" s="4"/>
      <c r="G219" s="13"/>
    </row>
    <row r="220" spans="2:7">
      <c r="B220" s="4"/>
      <c r="C220" s="4"/>
      <c r="D220" s="4"/>
      <c r="E220" s="4"/>
      <c r="F220" s="4"/>
      <c r="G220" s="13"/>
    </row>
    <row r="221" spans="2:7">
      <c r="B221" s="4"/>
      <c r="C221" s="4"/>
      <c r="D221" s="4"/>
      <c r="E221" s="4"/>
      <c r="F221" s="4"/>
      <c r="G221" s="13"/>
    </row>
    <row r="222" spans="2:7">
      <c r="B222" s="4"/>
      <c r="C222" s="4"/>
      <c r="D222" s="4"/>
      <c r="E222" s="4"/>
      <c r="F222" s="4"/>
      <c r="G222" s="13"/>
    </row>
    <row r="223" spans="2:7">
      <c r="B223" s="7"/>
      <c r="C223" s="7"/>
      <c r="D223" s="7"/>
      <c r="E223" s="7"/>
      <c r="F223" s="7"/>
      <c r="G223" s="87"/>
    </row>
  </sheetData>
  <mergeCells count="2">
    <mergeCell ref="I5:N5"/>
    <mergeCell ref="B5:G5"/>
  </mergeCells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C339-4BDE-4F9B-88A9-EA3FFE177C54}">
  <sheetPr codeName="Sheet5">
    <tabColor theme="9" tint="0.79998168889431442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2957B-EC79-4071-923E-F075DEDB386C}">
  <sheetPr codeName="Sheet30"/>
  <dimension ref="A1:AN46"/>
  <sheetViews>
    <sheetView topLeftCell="A6" workbookViewId="0">
      <selection activeCell="A3" sqref="A1:A3"/>
    </sheetView>
  </sheetViews>
  <sheetFormatPr defaultRowHeight="14.5"/>
  <sheetData>
    <row r="1" spans="1:40">
      <c r="A1" t="str" cm="1">
        <f t="array" aca="1" ref="A1" ca="1">CELL("filename",A1)</f>
        <v>C:\Sync\git_hub\vba_samplicity\[01_magnus_premres.xlsm]Correlation Matrix</v>
      </c>
    </row>
    <row r="2" spans="1:40">
      <c r="A2" s="14" t="s">
        <v>256</v>
      </c>
    </row>
    <row r="3" spans="1:40">
      <c r="A3" s="14" t="s">
        <v>204</v>
      </c>
    </row>
    <row r="7" spans="1:40">
      <c r="B7" s="49" t="str" cm="1">
        <f t="array" ref="B7:AN7">TRANSPOSE(A8:A46)</f>
        <v>1a</v>
      </c>
      <c r="C7" s="49" t="str">
        <v>1b</v>
      </c>
      <c r="D7" s="49" t="str">
        <v>2a</v>
      </c>
      <c r="E7" s="49" t="str">
        <v>2b</v>
      </c>
      <c r="F7" s="49" t="str">
        <v>3i</v>
      </c>
      <c r="G7" s="49" t="str">
        <v>3ii</v>
      </c>
      <c r="H7" s="49" t="str">
        <v>3iii</v>
      </c>
      <c r="I7" s="49" t="str">
        <v>4i</v>
      </c>
      <c r="J7" s="49" t="str">
        <v>4ii</v>
      </c>
      <c r="K7" s="49" t="str">
        <v>5i</v>
      </c>
      <c r="L7" s="49" t="str">
        <v>5ii</v>
      </c>
      <c r="M7" s="49" t="str">
        <v>6i</v>
      </c>
      <c r="N7" s="49" t="str">
        <v>6ii</v>
      </c>
      <c r="O7" s="49" t="str">
        <v>7i</v>
      </c>
      <c r="P7" s="49" t="str">
        <v>7ii</v>
      </c>
      <c r="Q7" s="49" t="str">
        <v>8i</v>
      </c>
      <c r="R7" s="49" t="str">
        <v>8ii</v>
      </c>
      <c r="S7" s="49" t="str">
        <v>9</v>
      </c>
      <c r="T7" s="49" t="str">
        <v>10i</v>
      </c>
      <c r="U7" s="49" t="str">
        <v>10ii</v>
      </c>
      <c r="V7" s="49" t="str">
        <v>10iii</v>
      </c>
      <c r="W7" s="49" t="str">
        <v>10iv</v>
      </c>
      <c r="X7" s="49" t="str">
        <v>10v</v>
      </c>
      <c r="Y7" s="49" t="str">
        <v>10vi</v>
      </c>
      <c r="Z7" s="49" t="str">
        <v>10vii</v>
      </c>
      <c r="AA7" s="49" t="str">
        <v>11</v>
      </c>
      <c r="AB7" s="49" t="str">
        <v>12</v>
      </c>
      <c r="AC7" s="49" t="str">
        <v>13</v>
      </c>
      <c r="AD7" s="49" t="str">
        <v>14</v>
      </c>
      <c r="AE7" s="49" t="str">
        <v>15</v>
      </c>
      <c r="AF7" s="49" t="str">
        <v>16i</v>
      </c>
      <c r="AG7" s="49" t="str">
        <v>16ii</v>
      </c>
      <c r="AH7" s="49" t="str">
        <v>16iii</v>
      </c>
      <c r="AI7" s="49" t="str">
        <v>17i</v>
      </c>
      <c r="AJ7" s="49" t="str">
        <v>17ii</v>
      </c>
      <c r="AK7" s="49" t="str">
        <v>17iii</v>
      </c>
      <c r="AL7" s="49" t="str">
        <v>17iv</v>
      </c>
      <c r="AM7" s="49" t="str">
        <v>18b</v>
      </c>
      <c r="AN7" s="49" t="str">
        <v>18c</v>
      </c>
    </row>
    <row r="8" spans="1:40">
      <c r="A8" s="50" t="s">
        <v>21</v>
      </c>
      <c r="B8">
        <v>1</v>
      </c>
    </row>
    <row r="9" spans="1:40">
      <c r="A9" s="50" t="s">
        <v>38</v>
      </c>
      <c r="B9">
        <v>0.75</v>
      </c>
      <c r="C9">
        <v>1</v>
      </c>
    </row>
    <row r="10" spans="1:40">
      <c r="A10" s="50" t="s">
        <v>39</v>
      </c>
      <c r="B10">
        <v>0.25</v>
      </c>
      <c r="C10">
        <v>0.25</v>
      </c>
      <c r="D10">
        <v>1</v>
      </c>
    </row>
    <row r="11" spans="1:40">
      <c r="A11" s="50" t="s">
        <v>40</v>
      </c>
      <c r="B11">
        <v>0.25</v>
      </c>
      <c r="C11">
        <v>0.25</v>
      </c>
      <c r="D11">
        <v>0.75</v>
      </c>
      <c r="E11">
        <v>1</v>
      </c>
    </row>
    <row r="12" spans="1:40">
      <c r="A12" s="50" t="s">
        <v>41</v>
      </c>
      <c r="B12">
        <v>0.25</v>
      </c>
      <c r="C12">
        <v>0.25</v>
      </c>
      <c r="D12">
        <v>0.25</v>
      </c>
      <c r="E12">
        <v>0.25</v>
      </c>
      <c r="F12">
        <v>1</v>
      </c>
    </row>
    <row r="13" spans="1:40">
      <c r="A13" s="50" t="s">
        <v>42</v>
      </c>
      <c r="B13">
        <v>0.25</v>
      </c>
      <c r="C13">
        <v>0.25</v>
      </c>
      <c r="D13">
        <v>0.25</v>
      </c>
      <c r="E13">
        <v>0.25</v>
      </c>
      <c r="F13">
        <v>0.75</v>
      </c>
      <c r="G13">
        <v>1</v>
      </c>
    </row>
    <row r="14" spans="1:40">
      <c r="A14" s="50" t="s">
        <v>43</v>
      </c>
      <c r="B14">
        <v>0.25</v>
      </c>
      <c r="C14">
        <v>0.25</v>
      </c>
      <c r="D14">
        <v>0.25</v>
      </c>
      <c r="E14">
        <v>0.25</v>
      </c>
      <c r="F14">
        <v>0.75</v>
      </c>
      <c r="G14">
        <v>0.75</v>
      </c>
      <c r="H14">
        <v>1</v>
      </c>
    </row>
    <row r="15" spans="1:40">
      <c r="A15" s="50" t="s">
        <v>44</v>
      </c>
      <c r="B15">
        <v>0.25</v>
      </c>
      <c r="C15">
        <v>0.25</v>
      </c>
      <c r="D15">
        <v>0.5</v>
      </c>
      <c r="E15">
        <v>0.5</v>
      </c>
      <c r="F15">
        <v>0.25</v>
      </c>
      <c r="G15">
        <v>0.25</v>
      </c>
      <c r="H15">
        <v>0.25</v>
      </c>
      <c r="I15">
        <v>1</v>
      </c>
    </row>
    <row r="16" spans="1:40">
      <c r="A16" s="50" t="s">
        <v>45</v>
      </c>
      <c r="B16">
        <v>0.25</v>
      </c>
      <c r="C16">
        <v>0.25</v>
      </c>
      <c r="D16">
        <v>0.5</v>
      </c>
      <c r="E16">
        <v>0.5</v>
      </c>
      <c r="F16">
        <v>0.25</v>
      </c>
      <c r="G16">
        <v>0.25</v>
      </c>
      <c r="H16">
        <v>0.25</v>
      </c>
      <c r="I16">
        <v>0.75</v>
      </c>
      <c r="J16">
        <v>1</v>
      </c>
    </row>
    <row r="17" spans="1:26">
      <c r="A17" s="50" t="s">
        <v>46</v>
      </c>
      <c r="B17">
        <v>0.25</v>
      </c>
      <c r="C17">
        <v>0.25</v>
      </c>
      <c r="D17">
        <v>0.25</v>
      </c>
      <c r="E17">
        <v>0.25</v>
      </c>
      <c r="F17">
        <v>0.25</v>
      </c>
      <c r="G17">
        <v>0.25</v>
      </c>
      <c r="H17">
        <v>0.25</v>
      </c>
      <c r="I17">
        <v>0.25</v>
      </c>
      <c r="J17">
        <v>0.25</v>
      </c>
      <c r="K17">
        <v>1</v>
      </c>
    </row>
    <row r="18" spans="1:26">
      <c r="A18" s="50" t="s">
        <v>47</v>
      </c>
      <c r="B18">
        <v>0.25</v>
      </c>
      <c r="C18">
        <v>0.25</v>
      </c>
      <c r="D18">
        <v>0.25</v>
      </c>
      <c r="E18">
        <v>0.25</v>
      </c>
      <c r="F18">
        <v>0.25</v>
      </c>
      <c r="G18">
        <v>0.25</v>
      </c>
      <c r="H18">
        <v>0.25</v>
      </c>
      <c r="I18">
        <v>0.25</v>
      </c>
      <c r="J18">
        <v>0.25</v>
      </c>
      <c r="K18">
        <v>0.75</v>
      </c>
      <c r="L18">
        <v>1</v>
      </c>
    </row>
    <row r="19" spans="1:26">
      <c r="A19" s="50" t="s">
        <v>48</v>
      </c>
      <c r="B19">
        <v>0.25</v>
      </c>
      <c r="C19">
        <v>0.25</v>
      </c>
      <c r="D19">
        <v>0.25</v>
      </c>
      <c r="E19">
        <v>0.25</v>
      </c>
      <c r="F19">
        <v>0.25</v>
      </c>
      <c r="G19">
        <v>0.25</v>
      </c>
      <c r="H19">
        <v>0.25</v>
      </c>
      <c r="I19">
        <v>0.25</v>
      </c>
      <c r="J19">
        <v>0.25</v>
      </c>
      <c r="K19">
        <v>0.25</v>
      </c>
      <c r="L19">
        <v>0.25</v>
      </c>
      <c r="M19">
        <v>1</v>
      </c>
    </row>
    <row r="20" spans="1:26">
      <c r="A20" s="50" t="s">
        <v>49</v>
      </c>
      <c r="B20">
        <v>0.25</v>
      </c>
      <c r="C20">
        <v>0.25</v>
      </c>
      <c r="D20">
        <v>0.25</v>
      </c>
      <c r="E20">
        <v>0.25</v>
      </c>
      <c r="F20">
        <v>0.25</v>
      </c>
      <c r="G20">
        <v>0.25</v>
      </c>
      <c r="H20">
        <v>0.25</v>
      </c>
      <c r="I20">
        <v>0.25</v>
      </c>
      <c r="J20">
        <v>0.25</v>
      </c>
      <c r="K20">
        <v>0.25</v>
      </c>
      <c r="L20">
        <v>0.25</v>
      </c>
      <c r="M20">
        <v>0.75</v>
      </c>
      <c r="N20">
        <v>1</v>
      </c>
    </row>
    <row r="21" spans="1:26">
      <c r="A21" s="50" t="s">
        <v>50</v>
      </c>
      <c r="B21">
        <v>0.25</v>
      </c>
      <c r="C21">
        <v>0.25</v>
      </c>
      <c r="D21">
        <v>0.25</v>
      </c>
      <c r="E21">
        <v>0.25</v>
      </c>
      <c r="F21">
        <v>0.25</v>
      </c>
      <c r="G21">
        <v>0.25</v>
      </c>
      <c r="H21">
        <v>0.25</v>
      </c>
      <c r="I21">
        <v>0.25</v>
      </c>
      <c r="J21">
        <v>0.25</v>
      </c>
      <c r="K21">
        <v>0.5</v>
      </c>
      <c r="L21">
        <v>0.5</v>
      </c>
      <c r="M21">
        <v>0.5</v>
      </c>
      <c r="N21">
        <v>0.5</v>
      </c>
      <c r="O21">
        <v>1</v>
      </c>
    </row>
    <row r="22" spans="1:26">
      <c r="A22" s="50" t="s">
        <v>51</v>
      </c>
      <c r="B22">
        <v>0.25</v>
      </c>
      <c r="C22">
        <v>0.25</v>
      </c>
      <c r="D22">
        <v>0.25</v>
      </c>
      <c r="E22">
        <v>0.25</v>
      </c>
      <c r="F22">
        <v>0.25</v>
      </c>
      <c r="G22">
        <v>0.25</v>
      </c>
      <c r="H22">
        <v>0.25</v>
      </c>
      <c r="I22">
        <v>0.25</v>
      </c>
      <c r="J22">
        <v>0.25</v>
      </c>
      <c r="K22">
        <v>0.5</v>
      </c>
      <c r="L22">
        <v>0.5</v>
      </c>
      <c r="M22">
        <v>0.5</v>
      </c>
      <c r="N22">
        <v>0.5</v>
      </c>
      <c r="O22">
        <v>0.75</v>
      </c>
      <c r="P22">
        <v>1</v>
      </c>
    </row>
    <row r="23" spans="1:26">
      <c r="A23" s="50" t="s">
        <v>52</v>
      </c>
      <c r="B23">
        <v>0.25</v>
      </c>
      <c r="C23">
        <v>0.25</v>
      </c>
      <c r="D23">
        <v>0.25</v>
      </c>
      <c r="E23">
        <v>0.25</v>
      </c>
      <c r="F23">
        <v>0.25</v>
      </c>
      <c r="G23">
        <v>0.25</v>
      </c>
      <c r="H23">
        <v>0.25</v>
      </c>
      <c r="I23">
        <v>0.25</v>
      </c>
      <c r="J23">
        <v>0.25</v>
      </c>
      <c r="K23">
        <v>0.25</v>
      </c>
      <c r="L23">
        <v>0.25</v>
      </c>
      <c r="M23">
        <v>0.25</v>
      </c>
      <c r="N23">
        <v>0.25</v>
      </c>
      <c r="O23">
        <v>0.5</v>
      </c>
      <c r="P23">
        <v>0.5</v>
      </c>
      <c r="Q23">
        <v>1</v>
      </c>
    </row>
    <row r="24" spans="1:26">
      <c r="A24" s="50" t="s">
        <v>53</v>
      </c>
      <c r="B24">
        <v>0.25</v>
      </c>
      <c r="C24">
        <v>0.25</v>
      </c>
      <c r="D24">
        <v>0.25</v>
      </c>
      <c r="E24">
        <v>0.25</v>
      </c>
      <c r="F24">
        <v>0.25</v>
      </c>
      <c r="G24">
        <v>0.25</v>
      </c>
      <c r="H24">
        <v>0.25</v>
      </c>
      <c r="I24">
        <v>0.25</v>
      </c>
      <c r="J24">
        <v>0.25</v>
      </c>
      <c r="K24">
        <v>0.25</v>
      </c>
      <c r="L24">
        <v>0.25</v>
      </c>
      <c r="M24">
        <v>0.25</v>
      </c>
      <c r="N24">
        <v>0.25</v>
      </c>
      <c r="O24">
        <v>0.5</v>
      </c>
      <c r="P24">
        <v>0.5</v>
      </c>
      <c r="Q24">
        <v>0.75</v>
      </c>
      <c r="R24">
        <v>1</v>
      </c>
    </row>
    <row r="25" spans="1:26">
      <c r="A25" s="51" t="s">
        <v>73</v>
      </c>
      <c r="B25">
        <v>0.5</v>
      </c>
      <c r="C25">
        <v>0.5</v>
      </c>
      <c r="D25">
        <v>0.25</v>
      </c>
      <c r="E25">
        <v>0.25</v>
      </c>
      <c r="F25">
        <v>0.25</v>
      </c>
      <c r="G25">
        <v>0.25</v>
      </c>
      <c r="H25">
        <v>0.25</v>
      </c>
      <c r="I25">
        <v>0.25</v>
      </c>
      <c r="J25">
        <v>0.25</v>
      </c>
      <c r="K25">
        <v>0.25</v>
      </c>
      <c r="L25">
        <v>0.25</v>
      </c>
      <c r="M25">
        <v>0.25</v>
      </c>
      <c r="N25">
        <v>0.25</v>
      </c>
      <c r="O25">
        <v>0.25</v>
      </c>
      <c r="P25">
        <v>0.25</v>
      </c>
      <c r="Q25">
        <v>0.25</v>
      </c>
      <c r="R25">
        <v>0.25</v>
      </c>
      <c r="S25">
        <v>1</v>
      </c>
    </row>
    <row r="26" spans="1:26">
      <c r="A26" s="50" t="s">
        <v>54</v>
      </c>
      <c r="B26">
        <v>0.25</v>
      </c>
      <c r="C26">
        <v>0.25</v>
      </c>
      <c r="D26">
        <v>0.25</v>
      </c>
      <c r="E26">
        <v>0.25</v>
      </c>
      <c r="F26">
        <v>0.25</v>
      </c>
      <c r="G26">
        <v>0.25</v>
      </c>
      <c r="H26">
        <v>0.25</v>
      </c>
      <c r="I26">
        <v>0.25</v>
      </c>
      <c r="J26">
        <v>0.25</v>
      </c>
      <c r="K26">
        <v>0.25</v>
      </c>
      <c r="L26">
        <v>0.25</v>
      </c>
      <c r="M26">
        <v>0.25</v>
      </c>
      <c r="N26">
        <v>0.25</v>
      </c>
      <c r="O26">
        <v>0.25</v>
      </c>
      <c r="P26">
        <v>0.25</v>
      </c>
      <c r="Q26">
        <v>0.25</v>
      </c>
      <c r="R26">
        <v>0.25</v>
      </c>
      <c r="S26">
        <v>0.25</v>
      </c>
      <c r="T26">
        <v>1</v>
      </c>
    </row>
    <row r="27" spans="1:26">
      <c r="A27" s="50" t="s">
        <v>55</v>
      </c>
      <c r="B27">
        <v>0.25</v>
      </c>
      <c r="C27">
        <v>0.25</v>
      </c>
      <c r="D27">
        <v>0.25</v>
      </c>
      <c r="E27">
        <v>0.25</v>
      </c>
      <c r="F27">
        <v>0.25</v>
      </c>
      <c r="G27">
        <v>0.25</v>
      </c>
      <c r="H27">
        <v>0.25</v>
      </c>
      <c r="I27">
        <v>0.25</v>
      </c>
      <c r="J27">
        <v>0.25</v>
      </c>
      <c r="K27">
        <v>0.25</v>
      </c>
      <c r="L27">
        <v>0.25</v>
      </c>
      <c r="M27">
        <v>0.25</v>
      </c>
      <c r="N27">
        <v>0.25</v>
      </c>
      <c r="O27">
        <v>0.25</v>
      </c>
      <c r="P27">
        <v>0.25</v>
      </c>
      <c r="Q27">
        <v>0.25</v>
      </c>
      <c r="R27">
        <v>0.25</v>
      </c>
      <c r="S27">
        <v>0.25</v>
      </c>
      <c r="T27">
        <v>0.25</v>
      </c>
      <c r="U27">
        <v>1</v>
      </c>
    </row>
    <row r="28" spans="1:26">
      <c r="A28" s="50" t="s">
        <v>56</v>
      </c>
      <c r="B28">
        <v>0.25</v>
      </c>
      <c r="C28">
        <v>0.25</v>
      </c>
      <c r="D28">
        <v>0.25</v>
      </c>
      <c r="E28">
        <v>0.25</v>
      </c>
      <c r="F28">
        <v>0.25</v>
      </c>
      <c r="G28">
        <v>0.25</v>
      </c>
      <c r="H28">
        <v>0.25</v>
      </c>
      <c r="I28">
        <v>0.25</v>
      </c>
      <c r="J28">
        <v>0.25</v>
      </c>
      <c r="K28">
        <v>0.25</v>
      </c>
      <c r="L28">
        <v>0.25</v>
      </c>
      <c r="M28">
        <v>0.25</v>
      </c>
      <c r="N28">
        <v>0.25</v>
      </c>
      <c r="O28">
        <v>0.25</v>
      </c>
      <c r="P28">
        <v>0.25</v>
      </c>
      <c r="Q28">
        <v>0.25</v>
      </c>
      <c r="R28">
        <v>0.25</v>
      </c>
      <c r="S28">
        <v>0.25</v>
      </c>
      <c r="T28">
        <v>0.5</v>
      </c>
      <c r="U28">
        <v>0.25</v>
      </c>
      <c r="V28">
        <v>1</v>
      </c>
    </row>
    <row r="29" spans="1:26">
      <c r="A29" s="50" t="s">
        <v>57</v>
      </c>
      <c r="B29">
        <v>0.25</v>
      </c>
      <c r="C29">
        <v>0.25</v>
      </c>
      <c r="D29">
        <v>0.25</v>
      </c>
      <c r="E29">
        <v>0.25</v>
      </c>
      <c r="F29">
        <v>0.25</v>
      </c>
      <c r="G29">
        <v>0.25</v>
      </c>
      <c r="H29">
        <v>0.25</v>
      </c>
      <c r="I29">
        <v>0.25</v>
      </c>
      <c r="J29">
        <v>0.25</v>
      </c>
      <c r="K29">
        <v>0.25</v>
      </c>
      <c r="L29">
        <v>0.25</v>
      </c>
      <c r="M29">
        <v>0.25</v>
      </c>
      <c r="N29">
        <v>0.25</v>
      </c>
      <c r="O29">
        <v>0.25</v>
      </c>
      <c r="P29">
        <v>0.25</v>
      </c>
      <c r="Q29">
        <v>0.25</v>
      </c>
      <c r="R29">
        <v>0.25</v>
      </c>
      <c r="S29">
        <v>0.25</v>
      </c>
      <c r="T29">
        <v>0.5</v>
      </c>
      <c r="U29">
        <v>0.25</v>
      </c>
      <c r="V29">
        <v>0.25</v>
      </c>
      <c r="W29">
        <v>1</v>
      </c>
    </row>
    <row r="30" spans="1:26">
      <c r="A30" s="50" t="s">
        <v>58</v>
      </c>
      <c r="B30">
        <v>0.25</v>
      </c>
      <c r="C30">
        <v>0.25</v>
      </c>
      <c r="D30">
        <v>0.25</v>
      </c>
      <c r="E30">
        <v>0.25</v>
      </c>
      <c r="F30">
        <v>0.25</v>
      </c>
      <c r="G30">
        <v>0.25</v>
      </c>
      <c r="H30">
        <v>0.25</v>
      </c>
      <c r="I30">
        <v>0.25</v>
      </c>
      <c r="J30">
        <v>0.25</v>
      </c>
      <c r="K30">
        <v>0.25</v>
      </c>
      <c r="L30">
        <v>0.25</v>
      </c>
      <c r="M30">
        <v>0.25</v>
      </c>
      <c r="N30">
        <v>0.25</v>
      </c>
      <c r="O30">
        <v>0.25</v>
      </c>
      <c r="P30">
        <v>0.25</v>
      </c>
      <c r="Q30">
        <v>0.25</v>
      </c>
      <c r="R30">
        <v>0.25</v>
      </c>
      <c r="S30">
        <v>0.5</v>
      </c>
      <c r="T30">
        <v>0.5</v>
      </c>
      <c r="U30">
        <v>0.25</v>
      </c>
      <c r="V30">
        <v>0.5</v>
      </c>
      <c r="W30">
        <v>0.25</v>
      </c>
      <c r="X30">
        <v>1</v>
      </c>
    </row>
    <row r="31" spans="1:26">
      <c r="A31" s="50" t="s">
        <v>59</v>
      </c>
      <c r="B31">
        <v>0.25</v>
      </c>
      <c r="C31">
        <v>0.25</v>
      </c>
      <c r="D31">
        <v>0.25</v>
      </c>
      <c r="E31">
        <v>0.25</v>
      </c>
      <c r="F31">
        <v>0.25</v>
      </c>
      <c r="G31">
        <v>0.25</v>
      </c>
      <c r="H31">
        <v>0.25</v>
      </c>
      <c r="I31">
        <v>0.25</v>
      </c>
      <c r="J31">
        <v>0.25</v>
      </c>
      <c r="K31">
        <v>0.25</v>
      </c>
      <c r="L31">
        <v>0.25</v>
      </c>
      <c r="M31">
        <v>0.25</v>
      </c>
      <c r="N31">
        <v>0.25</v>
      </c>
      <c r="O31">
        <v>0.25</v>
      </c>
      <c r="P31">
        <v>0.25</v>
      </c>
      <c r="Q31">
        <v>0.25</v>
      </c>
      <c r="R31">
        <v>0.25</v>
      </c>
      <c r="S31">
        <v>0.25</v>
      </c>
      <c r="T31">
        <v>0.25</v>
      </c>
      <c r="U31">
        <v>0.25</v>
      </c>
      <c r="V31">
        <v>0.25</v>
      </c>
      <c r="W31">
        <v>0.25</v>
      </c>
      <c r="X31">
        <v>0.25</v>
      </c>
      <c r="Y31">
        <v>1</v>
      </c>
    </row>
    <row r="32" spans="1:26">
      <c r="A32" s="50" t="s">
        <v>60</v>
      </c>
      <c r="B32">
        <v>0.25</v>
      </c>
      <c r="C32">
        <v>0.25</v>
      </c>
      <c r="D32">
        <v>0.25</v>
      </c>
      <c r="E32">
        <v>0.25</v>
      </c>
      <c r="F32">
        <v>0.25</v>
      </c>
      <c r="G32">
        <v>0.25</v>
      </c>
      <c r="H32">
        <v>0.25</v>
      </c>
      <c r="I32">
        <v>0.25</v>
      </c>
      <c r="J32">
        <v>0.25</v>
      </c>
      <c r="K32">
        <v>0.25</v>
      </c>
      <c r="L32">
        <v>0.25</v>
      </c>
      <c r="M32">
        <v>0.25</v>
      </c>
      <c r="N32">
        <v>0.25</v>
      </c>
      <c r="O32">
        <v>0.25</v>
      </c>
      <c r="P32">
        <v>0.25</v>
      </c>
      <c r="Q32">
        <v>0.25</v>
      </c>
      <c r="R32">
        <v>0.25</v>
      </c>
      <c r="S32">
        <v>0.25</v>
      </c>
      <c r="T32">
        <v>0.5</v>
      </c>
      <c r="U32">
        <v>0.5</v>
      </c>
      <c r="V32">
        <v>0.5</v>
      </c>
      <c r="W32">
        <v>0.5</v>
      </c>
      <c r="X32">
        <v>0.5</v>
      </c>
      <c r="Y32">
        <v>0.5</v>
      </c>
      <c r="Z32">
        <v>1</v>
      </c>
    </row>
    <row r="33" spans="1:40">
      <c r="A33" s="51" t="s">
        <v>74</v>
      </c>
      <c r="B33">
        <v>0.25</v>
      </c>
      <c r="C33">
        <v>0.25</v>
      </c>
      <c r="D33">
        <v>0.25</v>
      </c>
      <c r="E33">
        <v>0.25</v>
      </c>
      <c r="F33">
        <v>0.25</v>
      </c>
      <c r="G33">
        <v>0.25</v>
      </c>
      <c r="H33">
        <v>0.25</v>
      </c>
      <c r="I33">
        <v>0.25</v>
      </c>
      <c r="J33">
        <v>0.25</v>
      </c>
      <c r="K33">
        <v>0.25</v>
      </c>
      <c r="L33">
        <v>0.25</v>
      </c>
      <c r="M33">
        <v>0.25</v>
      </c>
      <c r="N33">
        <v>0.25</v>
      </c>
      <c r="O33">
        <v>0.25</v>
      </c>
      <c r="P33">
        <v>0.25</v>
      </c>
      <c r="Q33">
        <v>0.25</v>
      </c>
      <c r="R33">
        <v>0.25</v>
      </c>
      <c r="S33">
        <v>0.5</v>
      </c>
      <c r="T33">
        <v>0.25</v>
      </c>
      <c r="U33">
        <v>0.25</v>
      </c>
      <c r="V33">
        <v>0.25</v>
      </c>
      <c r="W33">
        <v>0.25</v>
      </c>
      <c r="X33">
        <v>0.5</v>
      </c>
      <c r="Y33">
        <v>0.25</v>
      </c>
      <c r="Z33">
        <v>0.25</v>
      </c>
      <c r="AA33">
        <v>1</v>
      </c>
    </row>
    <row r="34" spans="1:40">
      <c r="A34" s="51" t="s">
        <v>75</v>
      </c>
      <c r="B34">
        <v>0.25</v>
      </c>
      <c r="C34">
        <v>0.25</v>
      </c>
      <c r="D34">
        <v>0.25</v>
      </c>
      <c r="E34">
        <v>0.25</v>
      </c>
      <c r="F34">
        <v>0.25</v>
      </c>
      <c r="G34">
        <v>0.25</v>
      </c>
      <c r="H34">
        <v>0.25</v>
      </c>
      <c r="I34">
        <v>0.25</v>
      </c>
      <c r="J34">
        <v>0.25</v>
      </c>
      <c r="K34">
        <v>0.25</v>
      </c>
      <c r="L34">
        <v>0.25</v>
      </c>
      <c r="M34">
        <v>0.25</v>
      </c>
      <c r="N34">
        <v>0.25</v>
      </c>
      <c r="O34">
        <v>0.25</v>
      </c>
      <c r="P34">
        <v>0.25</v>
      </c>
      <c r="Q34">
        <v>0.25</v>
      </c>
      <c r="R34">
        <v>0.25</v>
      </c>
      <c r="S34">
        <v>0.5</v>
      </c>
      <c r="T34">
        <v>0.25</v>
      </c>
      <c r="U34">
        <v>0.25</v>
      </c>
      <c r="V34">
        <v>0.25</v>
      </c>
      <c r="W34">
        <v>0.25</v>
      </c>
      <c r="X34">
        <v>0.5</v>
      </c>
      <c r="Y34">
        <v>0.25</v>
      </c>
      <c r="Z34">
        <v>0.25</v>
      </c>
      <c r="AA34">
        <v>0.75</v>
      </c>
      <c r="AB34">
        <v>1</v>
      </c>
    </row>
    <row r="35" spans="1:40">
      <c r="A35" s="51" t="s">
        <v>76</v>
      </c>
      <c r="B35">
        <v>0.25</v>
      </c>
      <c r="C35">
        <v>0.25</v>
      </c>
      <c r="D35">
        <v>0.25</v>
      </c>
      <c r="E35">
        <v>0.25</v>
      </c>
      <c r="F35">
        <v>0.25</v>
      </c>
      <c r="G35">
        <v>0.25</v>
      </c>
      <c r="H35">
        <v>0.25</v>
      </c>
      <c r="I35">
        <v>0.25</v>
      </c>
      <c r="J35">
        <v>0.25</v>
      </c>
      <c r="K35">
        <v>0.25</v>
      </c>
      <c r="L35">
        <v>0.25</v>
      </c>
      <c r="M35">
        <v>0.25</v>
      </c>
      <c r="N35">
        <v>0.25</v>
      </c>
      <c r="O35">
        <v>0.25</v>
      </c>
      <c r="P35">
        <v>0.25</v>
      </c>
      <c r="Q35">
        <v>0.25</v>
      </c>
      <c r="R35">
        <v>0.25</v>
      </c>
      <c r="S35">
        <v>0.5</v>
      </c>
      <c r="T35">
        <v>0.25</v>
      </c>
      <c r="U35">
        <v>0.25</v>
      </c>
      <c r="V35">
        <v>0.25</v>
      </c>
      <c r="W35">
        <v>0.25</v>
      </c>
      <c r="X35">
        <v>0.5</v>
      </c>
      <c r="Y35">
        <v>0.25</v>
      </c>
      <c r="Z35">
        <v>0.25</v>
      </c>
      <c r="AA35">
        <v>0.75</v>
      </c>
      <c r="AB35">
        <v>0.75</v>
      </c>
      <c r="AC35">
        <v>1</v>
      </c>
    </row>
    <row r="36" spans="1:40">
      <c r="A36" s="51" t="s">
        <v>77</v>
      </c>
      <c r="B36">
        <v>0.25</v>
      </c>
      <c r="C36">
        <v>0.25</v>
      </c>
      <c r="D36">
        <v>0.25</v>
      </c>
      <c r="E36">
        <v>0.25</v>
      </c>
      <c r="F36">
        <v>0.25</v>
      </c>
      <c r="G36">
        <v>0.25</v>
      </c>
      <c r="H36">
        <v>0.25</v>
      </c>
      <c r="I36">
        <v>0.25</v>
      </c>
      <c r="J36">
        <v>0.25</v>
      </c>
      <c r="K36">
        <v>0.25</v>
      </c>
      <c r="L36">
        <v>0.25</v>
      </c>
      <c r="M36">
        <v>0.25</v>
      </c>
      <c r="N36">
        <v>0.25</v>
      </c>
      <c r="O36">
        <v>0.25</v>
      </c>
      <c r="P36">
        <v>0.25</v>
      </c>
      <c r="Q36">
        <v>0.25</v>
      </c>
      <c r="R36">
        <v>0.25</v>
      </c>
      <c r="S36">
        <v>0.25</v>
      </c>
      <c r="T36">
        <v>0.25</v>
      </c>
      <c r="U36">
        <v>0.25</v>
      </c>
      <c r="V36">
        <v>0.25</v>
      </c>
      <c r="W36">
        <v>0.25</v>
      </c>
      <c r="X36">
        <v>0.25</v>
      </c>
      <c r="Y36">
        <v>0.25</v>
      </c>
      <c r="Z36">
        <v>0.25</v>
      </c>
      <c r="AA36">
        <v>0.25</v>
      </c>
      <c r="AB36">
        <v>0.75</v>
      </c>
      <c r="AC36">
        <v>0.75</v>
      </c>
      <c r="AD36">
        <v>1</v>
      </c>
    </row>
    <row r="37" spans="1:40">
      <c r="A37" s="51" t="s">
        <v>78</v>
      </c>
      <c r="B37">
        <v>0.25</v>
      </c>
      <c r="C37">
        <v>0.25</v>
      </c>
      <c r="D37">
        <v>0.25</v>
      </c>
      <c r="E37">
        <v>0.25</v>
      </c>
      <c r="F37">
        <v>0.25</v>
      </c>
      <c r="G37">
        <v>0.25</v>
      </c>
      <c r="H37">
        <v>0.25</v>
      </c>
      <c r="I37">
        <v>0.25</v>
      </c>
      <c r="J37">
        <v>0.25</v>
      </c>
      <c r="K37">
        <v>0.25</v>
      </c>
      <c r="L37">
        <v>0.25</v>
      </c>
      <c r="M37">
        <v>0.25</v>
      </c>
      <c r="N37">
        <v>0.25</v>
      </c>
      <c r="O37">
        <v>0.25</v>
      </c>
      <c r="P37">
        <v>0.25</v>
      </c>
      <c r="Q37">
        <v>0.25</v>
      </c>
      <c r="R37">
        <v>0.25</v>
      </c>
      <c r="S37">
        <v>0.25</v>
      </c>
      <c r="T37">
        <v>0.25</v>
      </c>
      <c r="U37">
        <v>0.25</v>
      </c>
      <c r="V37">
        <v>0.25</v>
      </c>
      <c r="W37">
        <v>0.25</v>
      </c>
      <c r="X37">
        <v>0.25</v>
      </c>
      <c r="Y37">
        <v>0.5</v>
      </c>
      <c r="Z37">
        <v>0.25</v>
      </c>
      <c r="AA37">
        <v>0.25</v>
      </c>
      <c r="AB37">
        <v>0.25</v>
      </c>
      <c r="AC37">
        <v>0.25</v>
      </c>
      <c r="AD37">
        <v>0.25</v>
      </c>
      <c r="AE37">
        <v>1</v>
      </c>
    </row>
    <row r="38" spans="1:40">
      <c r="A38" s="50" t="s">
        <v>61</v>
      </c>
      <c r="B38">
        <v>0.25</v>
      </c>
      <c r="C38">
        <v>0.25</v>
      </c>
      <c r="D38">
        <v>0.25</v>
      </c>
      <c r="E38">
        <v>0.25</v>
      </c>
      <c r="F38">
        <v>0.25</v>
      </c>
      <c r="G38">
        <v>0.25</v>
      </c>
      <c r="H38">
        <v>0.25</v>
      </c>
      <c r="I38">
        <v>0.25</v>
      </c>
      <c r="J38">
        <v>0.25</v>
      </c>
      <c r="K38">
        <v>0.25</v>
      </c>
      <c r="L38">
        <v>0.25</v>
      </c>
      <c r="M38">
        <v>0.25</v>
      </c>
      <c r="N38">
        <v>0.25</v>
      </c>
      <c r="O38">
        <v>0.25</v>
      </c>
      <c r="P38">
        <v>0.25</v>
      </c>
      <c r="Q38">
        <v>0.25</v>
      </c>
      <c r="R38">
        <v>0.25</v>
      </c>
      <c r="S38">
        <v>0.25</v>
      </c>
      <c r="T38">
        <v>0.25</v>
      </c>
      <c r="U38">
        <v>0.25</v>
      </c>
      <c r="V38">
        <v>0.25</v>
      </c>
      <c r="W38">
        <v>0.25</v>
      </c>
      <c r="X38">
        <v>0.25</v>
      </c>
      <c r="Y38">
        <v>0.25</v>
      </c>
      <c r="Z38">
        <v>0.25</v>
      </c>
      <c r="AA38">
        <v>0.25</v>
      </c>
      <c r="AB38">
        <v>0.25</v>
      </c>
      <c r="AC38">
        <v>0.25</v>
      </c>
      <c r="AD38">
        <v>0.25</v>
      </c>
      <c r="AE38">
        <v>0.25</v>
      </c>
      <c r="AF38">
        <v>1</v>
      </c>
    </row>
    <row r="39" spans="1:40">
      <c r="A39" s="50" t="s">
        <v>62</v>
      </c>
      <c r="B39">
        <v>0.25</v>
      </c>
      <c r="C39">
        <v>0.25</v>
      </c>
      <c r="D39">
        <v>0.25</v>
      </c>
      <c r="E39">
        <v>0.25</v>
      </c>
      <c r="F39">
        <v>0.25</v>
      </c>
      <c r="G39">
        <v>0.25</v>
      </c>
      <c r="H39">
        <v>0.25</v>
      </c>
      <c r="I39">
        <v>0.25</v>
      </c>
      <c r="J39">
        <v>0.25</v>
      </c>
      <c r="K39">
        <v>0.25</v>
      </c>
      <c r="L39">
        <v>0.25</v>
      </c>
      <c r="M39">
        <v>0.25</v>
      </c>
      <c r="N39">
        <v>0.25</v>
      </c>
      <c r="O39">
        <v>0.25</v>
      </c>
      <c r="P39">
        <v>0.25</v>
      </c>
      <c r="Q39">
        <v>0.25</v>
      </c>
      <c r="R39">
        <v>0.25</v>
      </c>
      <c r="S39">
        <v>0.25</v>
      </c>
      <c r="T39">
        <v>0.25</v>
      </c>
      <c r="U39">
        <v>0.25</v>
      </c>
      <c r="V39">
        <v>0.25</v>
      </c>
      <c r="W39">
        <v>0.25</v>
      </c>
      <c r="X39">
        <v>0.25</v>
      </c>
      <c r="Y39">
        <v>0.25</v>
      </c>
      <c r="Z39">
        <v>0.25</v>
      </c>
      <c r="AA39">
        <v>0.25</v>
      </c>
      <c r="AB39">
        <v>0.25</v>
      </c>
      <c r="AC39">
        <v>0.25</v>
      </c>
      <c r="AD39">
        <v>0.25</v>
      </c>
      <c r="AE39">
        <v>0.25</v>
      </c>
      <c r="AF39">
        <v>0.25</v>
      </c>
      <c r="AG39">
        <v>1</v>
      </c>
    </row>
    <row r="40" spans="1:40">
      <c r="A40" s="50" t="s">
        <v>63</v>
      </c>
      <c r="B40">
        <v>0.5</v>
      </c>
      <c r="C40">
        <v>0.5</v>
      </c>
      <c r="D40">
        <v>0.5</v>
      </c>
      <c r="E40">
        <v>0.5</v>
      </c>
      <c r="F40">
        <v>0.5</v>
      </c>
      <c r="G40">
        <v>0.5</v>
      </c>
      <c r="H40">
        <v>0.5</v>
      </c>
      <c r="I40">
        <v>0.5</v>
      </c>
      <c r="J40">
        <v>0.5</v>
      </c>
      <c r="K40">
        <v>0.5</v>
      </c>
      <c r="L40">
        <v>0.5</v>
      </c>
      <c r="M40">
        <v>0.5</v>
      </c>
      <c r="N40">
        <v>0.5</v>
      </c>
      <c r="O40">
        <v>0.5</v>
      </c>
      <c r="P40">
        <v>0.5</v>
      </c>
      <c r="Q40">
        <v>0.5</v>
      </c>
      <c r="R40">
        <v>0.5</v>
      </c>
      <c r="S40">
        <v>0.5</v>
      </c>
      <c r="T40">
        <v>0.5</v>
      </c>
      <c r="U40">
        <v>0.5</v>
      </c>
      <c r="V40">
        <v>0.5</v>
      </c>
      <c r="W40">
        <v>0.5</v>
      </c>
      <c r="X40">
        <v>0.5</v>
      </c>
      <c r="Y40">
        <v>0.5</v>
      </c>
      <c r="Z40">
        <v>0.5</v>
      </c>
      <c r="AA40">
        <v>0.5</v>
      </c>
      <c r="AB40">
        <v>0.5</v>
      </c>
      <c r="AC40">
        <v>0.5</v>
      </c>
      <c r="AD40">
        <v>0.5</v>
      </c>
      <c r="AE40">
        <v>0.5</v>
      </c>
      <c r="AF40">
        <v>0.5</v>
      </c>
      <c r="AG40">
        <v>0.5</v>
      </c>
      <c r="AH40">
        <v>1</v>
      </c>
    </row>
    <row r="41" spans="1:40">
      <c r="A41" s="50" t="s">
        <v>64</v>
      </c>
      <c r="B41">
        <v>0.25</v>
      </c>
      <c r="C41">
        <v>0.25</v>
      </c>
      <c r="D41">
        <v>0.25</v>
      </c>
      <c r="E41">
        <v>0.25</v>
      </c>
      <c r="F41">
        <v>0.25</v>
      </c>
      <c r="G41">
        <v>0.25</v>
      </c>
      <c r="H41">
        <v>0.25</v>
      </c>
      <c r="I41">
        <v>0.25</v>
      </c>
      <c r="J41">
        <v>0.25</v>
      </c>
      <c r="K41">
        <v>0.25</v>
      </c>
      <c r="L41">
        <v>0.25</v>
      </c>
      <c r="M41">
        <v>0.25</v>
      </c>
      <c r="N41">
        <v>0.25</v>
      </c>
      <c r="O41">
        <v>0.25</v>
      </c>
      <c r="P41">
        <v>0.25</v>
      </c>
      <c r="Q41">
        <v>0.25</v>
      </c>
      <c r="R41">
        <v>0.25</v>
      </c>
      <c r="S41">
        <v>0.25</v>
      </c>
      <c r="T41">
        <v>0.25</v>
      </c>
      <c r="U41">
        <v>0.25</v>
      </c>
      <c r="V41">
        <v>0.25</v>
      </c>
      <c r="W41">
        <v>0.25</v>
      </c>
      <c r="X41">
        <v>0.25</v>
      </c>
      <c r="Y41">
        <v>0.25</v>
      </c>
      <c r="Z41">
        <v>0.25</v>
      </c>
      <c r="AA41">
        <v>0.25</v>
      </c>
      <c r="AB41">
        <v>0.25</v>
      </c>
      <c r="AC41">
        <v>0.25</v>
      </c>
      <c r="AD41">
        <v>0.25</v>
      </c>
      <c r="AE41">
        <v>0.25</v>
      </c>
      <c r="AF41">
        <v>0.25</v>
      </c>
      <c r="AG41">
        <v>0.25</v>
      </c>
      <c r="AH41">
        <v>0.25</v>
      </c>
      <c r="AI41">
        <v>1</v>
      </c>
    </row>
    <row r="42" spans="1:40">
      <c r="A42" s="50" t="s">
        <v>65</v>
      </c>
      <c r="B42">
        <v>0.25</v>
      </c>
      <c r="C42">
        <v>0.25</v>
      </c>
      <c r="D42">
        <v>0.25</v>
      </c>
      <c r="E42">
        <v>0.25</v>
      </c>
      <c r="F42">
        <v>0.25</v>
      </c>
      <c r="G42">
        <v>0.25</v>
      </c>
      <c r="H42">
        <v>0.25</v>
      </c>
      <c r="I42">
        <v>0.25</v>
      </c>
      <c r="J42">
        <v>0.25</v>
      </c>
      <c r="K42">
        <v>0.25</v>
      </c>
      <c r="L42">
        <v>0.25</v>
      </c>
      <c r="M42">
        <v>0.25</v>
      </c>
      <c r="N42">
        <v>0.25</v>
      </c>
      <c r="O42">
        <v>0.25</v>
      </c>
      <c r="P42">
        <v>0.25</v>
      </c>
      <c r="Q42">
        <v>0.25</v>
      </c>
      <c r="R42">
        <v>0.25</v>
      </c>
      <c r="S42">
        <v>0.25</v>
      </c>
      <c r="T42">
        <v>0.25</v>
      </c>
      <c r="U42">
        <v>0.25</v>
      </c>
      <c r="V42">
        <v>0.25</v>
      </c>
      <c r="W42">
        <v>0.25</v>
      </c>
      <c r="X42">
        <v>0.25</v>
      </c>
      <c r="Y42">
        <v>0.25</v>
      </c>
      <c r="Z42">
        <v>0.25</v>
      </c>
      <c r="AA42">
        <v>0.25</v>
      </c>
      <c r="AB42">
        <v>0.25</v>
      </c>
      <c r="AC42">
        <v>0.25</v>
      </c>
      <c r="AD42">
        <v>0.25</v>
      </c>
      <c r="AE42">
        <v>0.25</v>
      </c>
      <c r="AF42">
        <v>0.25</v>
      </c>
      <c r="AG42">
        <v>0.25</v>
      </c>
      <c r="AH42">
        <v>0.25</v>
      </c>
      <c r="AI42">
        <v>0.75</v>
      </c>
      <c r="AJ42">
        <v>1</v>
      </c>
    </row>
    <row r="43" spans="1:40">
      <c r="A43" s="50" t="s">
        <v>66</v>
      </c>
      <c r="B43">
        <v>0.25</v>
      </c>
      <c r="C43">
        <v>0.25</v>
      </c>
      <c r="D43">
        <v>0.25</v>
      </c>
      <c r="E43">
        <v>0.25</v>
      </c>
      <c r="F43">
        <v>0.25</v>
      </c>
      <c r="G43">
        <v>0.25</v>
      </c>
      <c r="H43">
        <v>0.25</v>
      </c>
      <c r="I43">
        <v>0.25</v>
      </c>
      <c r="J43">
        <v>0.25</v>
      </c>
      <c r="K43">
        <v>0.25</v>
      </c>
      <c r="L43">
        <v>0.25</v>
      </c>
      <c r="M43">
        <v>0.25</v>
      </c>
      <c r="N43">
        <v>0.25</v>
      </c>
      <c r="O43">
        <v>0.25</v>
      </c>
      <c r="P43">
        <v>0.25</v>
      </c>
      <c r="Q43">
        <v>0.25</v>
      </c>
      <c r="R43">
        <v>0.25</v>
      </c>
      <c r="S43">
        <v>0.25</v>
      </c>
      <c r="T43">
        <v>0.25</v>
      </c>
      <c r="U43">
        <v>0.25</v>
      </c>
      <c r="V43">
        <v>0.25</v>
      </c>
      <c r="W43">
        <v>0.25</v>
      </c>
      <c r="X43">
        <v>0.25</v>
      </c>
      <c r="Y43">
        <v>0.25</v>
      </c>
      <c r="Z43">
        <v>0.25</v>
      </c>
      <c r="AA43">
        <v>0.25</v>
      </c>
      <c r="AB43">
        <v>0.25</v>
      </c>
      <c r="AC43">
        <v>0.25</v>
      </c>
      <c r="AD43">
        <v>0.25</v>
      </c>
      <c r="AE43">
        <v>0.25</v>
      </c>
      <c r="AF43">
        <v>0.25</v>
      </c>
      <c r="AG43">
        <v>0.25</v>
      </c>
      <c r="AH43">
        <v>0.25</v>
      </c>
      <c r="AI43">
        <v>0.5</v>
      </c>
      <c r="AJ43">
        <v>0.5</v>
      </c>
      <c r="AK43">
        <v>1</v>
      </c>
    </row>
    <row r="44" spans="1:40">
      <c r="A44" s="50" t="s">
        <v>67</v>
      </c>
      <c r="B44">
        <v>0.25</v>
      </c>
      <c r="C44">
        <v>0.25</v>
      </c>
      <c r="D44">
        <v>0.25</v>
      </c>
      <c r="E44">
        <v>0.25</v>
      </c>
      <c r="F44">
        <v>0.25</v>
      </c>
      <c r="G44">
        <v>0.25</v>
      </c>
      <c r="H44">
        <v>0.25</v>
      </c>
      <c r="I44">
        <v>0.25</v>
      </c>
      <c r="J44">
        <v>0.25</v>
      </c>
      <c r="K44">
        <v>0.25</v>
      </c>
      <c r="L44">
        <v>0.25</v>
      </c>
      <c r="M44">
        <v>0.25</v>
      </c>
      <c r="N44">
        <v>0.25</v>
      </c>
      <c r="O44">
        <v>0.25</v>
      </c>
      <c r="P44">
        <v>0.25</v>
      </c>
      <c r="Q44">
        <v>0.25</v>
      </c>
      <c r="R44">
        <v>0.25</v>
      </c>
      <c r="S44">
        <v>0.25</v>
      </c>
      <c r="T44">
        <v>0.25</v>
      </c>
      <c r="U44">
        <v>0.25</v>
      </c>
      <c r="V44">
        <v>0.25</v>
      </c>
      <c r="W44">
        <v>0.25</v>
      </c>
      <c r="X44">
        <v>0.25</v>
      </c>
      <c r="Y44">
        <v>0.25</v>
      </c>
      <c r="Z44">
        <v>0.25</v>
      </c>
      <c r="AA44">
        <v>0.25</v>
      </c>
      <c r="AB44">
        <v>0.25</v>
      </c>
      <c r="AC44">
        <v>0.25</v>
      </c>
      <c r="AD44">
        <v>0.25</v>
      </c>
      <c r="AE44">
        <v>0.25</v>
      </c>
      <c r="AF44">
        <v>0.25</v>
      </c>
      <c r="AG44">
        <v>0.25</v>
      </c>
      <c r="AH44">
        <v>0.25</v>
      </c>
      <c r="AI44">
        <v>0.25</v>
      </c>
      <c r="AJ44">
        <v>0.25</v>
      </c>
      <c r="AK44">
        <v>0.25</v>
      </c>
      <c r="AL44">
        <v>1</v>
      </c>
    </row>
    <row r="45" spans="1:40">
      <c r="A45" s="50" t="s">
        <v>68</v>
      </c>
      <c r="B45">
        <v>0.25</v>
      </c>
      <c r="C45">
        <v>0.25</v>
      </c>
      <c r="D45">
        <v>0.25</v>
      </c>
      <c r="E45">
        <v>0.25</v>
      </c>
      <c r="F45">
        <v>0.25</v>
      </c>
      <c r="G45">
        <v>0.25</v>
      </c>
      <c r="H45">
        <v>0.25</v>
      </c>
      <c r="I45">
        <v>0.25</v>
      </c>
      <c r="J45">
        <v>0.25</v>
      </c>
      <c r="K45">
        <v>0.25</v>
      </c>
      <c r="L45">
        <v>0.25</v>
      </c>
      <c r="M45">
        <v>0.25</v>
      </c>
      <c r="N45">
        <v>0.25</v>
      </c>
      <c r="O45">
        <v>0.25</v>
      </c>
      <c r="P45">
        <v>0.25</v>
      </c>
      <c r="Q45">
        <v>0.25</v>
      </c>
      <c r="R45">
        <v>0.25</v>
      </c>
      <c r="S45">
        <v>0.25</v>
      </c>
      <c r="T45">
        <v>0.25</v>
      </c>
      <c r="U45">
        <v>0.25</v>
      </c>
      <c r="V45">
        <v>0.25</v>
      </c>
      <c r="W45">
        <v>0.25</v>
      </c>
      <c r="X45">
        <v>0.25</v>
      </c>
      <c r="Y45">
        <v>0.25</v>
      </c>
      <c r="Z45">
        <v>0.25</v>
      </c>
      <c r="AA45">
        <v>0.25</v>
      </c>
      <c r="AB45">
        <v>0.25</v>
      </c>
      <c r="AC45">
        <v>0.25</v>
      </c>
      <c r="AD45">
        <v>0.25</v>
      </c>
      <c r="AE45">
        <v>0.25</v>
      </c>
      <c r="AF45">
        <v>0.25</v>
      </c>
      <c r="AG45">
        <v>0.25</v>
      </c>
      <c r="AH45">
        <v>0.25</v>
      </c>
      <c r="AI45">
        <v>0.25</v>
      </c>
      <c r="AJ45">
        <v>0.25</v>
      </c>
      <c r="AK45">
        <v>0.25</v>
      </c>
      <c r="AL45">
        <v>0.25</v>
      </c>
      <c r="AM45">
        <v>1</v>
      </c>
    </row>
    <row r="46" spans="1:40">
      <c r="A46" s="50" t="s">
        <v>69</v>
      </c>
      <c r="B46">
        <v>0.25</v>
      </c>
      <c r="C46">
        <v>0.25</v>
      </c>
      <c r="D46">
        <v>0.25</v>
      </c>
      <c r="E46">
        <v>0.25</v>
      </c>
      <c r="F46">
        <v>0.25</v>
      </c>
      <c r="G46">
        <v>0.25</v>
      </c>
      <c r="H46">
        <v>0.25</v>
      </c>
      <c r="I46">
        <v>0.25</v>
      </c>
      <c r="J46">
        <v>0.25</v>
      </c>
      <c r="K46">
        <v>0.25</v>
      </c>
      <c r="L46">
        <v>0.25</v>
      </c>
      <c r="M46">
        <v>0.25</v>
      </c>
      <c r="N46">
        <v>0.25</v>
      </c>
      <c r="O46">
        <v>0.25</v>
      </c>
      <c r="P46">
        <v>0.25</v>
      </c>
      <c r="Q46">
        <v>0.25</v>
      </c>
      <c r="R46">
        <v>0.25</v>
      </c>
      <c r="S46">
        <v>0.25</v>
      </c>
      <c r="T46">
        <v>0.25</v>
      </c>
      <c r="U46">
        <v>0.25</v>
      </c>
      <c r="V46">
        <v>0.25</v>
      </c>
      <c r="W46">
        <v>0.25</v>
      </c>
      <c r="X46">
        <v>0.25</v>
      </c>
      <c r="Y46">
        <v>0.25</v>
      </c>
      <c r="Z46">
        <v>0.25</v>
      </c>
      <c r="AA46">
        <v>0.25</v>
      </c>
      <c r="AB46">
        <v>0.25</v>
      </c>
      <c r="AC46">
        <v>0.25</v>
      </c>
      <c r="AD46">
        <v>0.25</v>
      </c>
      <c r="AE46">
        <v>0.25</v>
      </c>
      <c r="AF46">
        <v>0.25</v>
      </c>
      <c r="AG46">
        <v>0.25</v>
      </c>
      <c r="AH46">
        <v>0.25</v>
      </c>
      <c r="AI46">
        <v>0.25</v>
      </c>
      <c r="AJ46">
        <v>0.25</v>
      </c>
      <c r="AK46">
        <v>0.25</v>
      </c>
      <c r="AL46">
        <v>0.25</v>
      </c>
      <c r="AM46">
        <v>0.25</v>
      </c>
      <c r="AN46">
        <v>1</v>
      </c>
    </row>
  </sheetData>
  <pageMargins left="0.7" right="0.7" top="0.75" bottom="0.75" header="0.3" footer="0.3"/>
  <headerFooter>
    <oddHeader>&amp;R&amp;"Calibri"&amp;10&amp;K000000 Control Disclosure&amp;1#_x000D_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5D41-3847-4C32-AFAE-D6DEEE652FF3}">
  <sheetPr codeName="Sheet27"/>
  <dimension ref="A1:AH39"/>
  <sheetViews>
    <sheetView workbookViewId="0">
      <selection activeCell="A7" sqref="A7"/>
    </sheetView>
  </sheetViews>
  <sheetFormatPr defaultRowHeight="14.5"/>
  <sheetData>
    <row r="1" spans="1:34">
      <c r="A1" t="str" cm="1">
        <f t="array" aca="1" ref="A1" ca="1">CELL("filename",A1)</f>
        <v>C:\Sync\git_hub\vba_samplicity\[01_magnus_premres.xlsm]Calculated Correlation Matrix</v>
      </c>
    </row>
    <row r="2" spans="1:34">
      <c r="A2" s="14" t="s">
        <v>256</v>
      </c>
    </row>
    <row r="3" spans="1:34">
      <c r="A3" s="14" t="s">
        <v>257</v>
      </c>
    </row>
    <row r="6" spans="1:34">
      <c r="B6" s="49" t="str" cm="1">
        <f t="array" ref="B6:AH6">TRANSPOSE(_xlfn.ANCHORARRAY(A7))</f>
        <v>1a</v>
      </c>
      <c r="C6" s="49" t="str">
        <v>1b</v>
      </c>
      <c r="D6" s="49" t="str">
        <v>2a</v>
      </c>
      <c r="E6" s="49" t="str">
        <v>2b</v>
      </c>
      <c r="F6" s="49" t="str">
        <v>1a</v>
      </c>
      <c r="G6" s="49" t="str">
        <v>3ii</v>
      </c>
      <c r="H6" s="49" t="str">
        <v>3iii</v>
      </c>
      <c r="I6" s="49" t="str">
        <v>4i</v>
      </c>
      <c r="J6" s="49" t="str">
        <v>4ii</v>
      </c>
      <c r="K6" s="49" t="str">
        <v>5i</v>
      </c>
      <c r="L6" s="49" t="str">
        <v>5ii</v>
      </c>
      <c r="M6" s="49" t="str">
        <v>6i</v>
      </c>
      <c r="N6" s="49" t="str">
        <v>6ii</v>
      </c>
      <c r="O6" s="49" t="str">
        <v>7i</v>
      </c>
      <c r="P6" s="49" t="str">
        <v>7ii</v>
      </c>
      <c r="Q6" s="49" t="str">
        <v>8i</v>
      </c>
      <c r="R6" s="49" t="str">
        <v>8ii</v>
      </c>
      <c r="S6" s="49" t="str">
        <v>9</v>
      </c>
      <c r="T6" s="49" t="str">
        <v>10i</v>
      </c>
      <c r="U6" s="49" t="str">
        <v>10ii</v>
      </c>
      <c r="V6" s="49" t="str">
        <v>10iii</v>
      </c>
      <c r="W6" s="49" t="str">
        <v>10iv</v>
      </c>
      <c r="X6" s="49" t="str">
        <v>10v</v>
      </c>
      <c r="Y6" s="49" t="str">
        <v>10vi</v>
      </c>
      <c r="Z6" s="49" t="str">
        <v>10vii</v>
      </c>
      <c r="AA6" s="49" t="str">
        <v>18b</v>
      </c>
      <c r="AB6" s="49" t="str">
        <v>13</v>
      </c>
      <c r="AC6" s="49" t="str">
        <v>14</v>
      </c>
      <c r="AD6" s="49" t="str">
        <v>15</v>
      </c>
      <c r="AE6" s="49" t="str">
        <v>16i</v>
      </c>
      <c r="AF6" s="49" t="str">
        <v>18b</v>
      </c>
      <c r="AG6" s="49" t="str">
        <v>18c</v>
      </c>
      <c r="AH6" s="49" t="str">
        <v>17ii</v>
      </c>
    </row>
    <row r="7" spans="1:34">
      <c r="A7" s="49" t="str" cm="1">
        <f t="array" ref="A7:A39">_xlfn._xlws.FILTER(_xlfn.ANCHORARRAY('PremRes Replication'!U19),_xlfn.ANCHORARRAY('PremRes Replication'!U19)&lt;&gt;"zzz")</f>
        <v>1a</v>
      </c>
      <c r="B7" cm="1">
        <f t="array" ref="B7:AH39">_xlfn.MAKEARRAY(
    ROWS(_xlfn.ANCHORARRAY($A$7)),
    COLUMNS(_xlfn.ANCHORARRAY($B$6)),
    _xlfn.LAMBDA(_xlpm.r,_xlpm.c,
        MAX(
            INDEX('Correlation Matrix'!$B$8:$AP$46,
                MATCH(INDEX(_xlfn.ANCHORARRAY($A$7), _xlpm.r), 'Correlation Matrix'!$A$8:$A$46, 0),
                MATCH(INDEX(_xlfn.ANCHORARRAY($B$6), _xlpm.c), 'Correlation Matrix'!$A$8:$A$46, 0)
            ),
            INDEX('Correlation Matrix'!$B$8:$AP$46,
                MATCH(INDEX(_xlfn.ANCHORARRAY($B$6), _xlpm.c), 'Correlation Matrix'!$A$8:$A$46, 0),
                MATCH(INDEX(_xlfn.ANCHORARRAY($A$7), _xlpm.r), 'Correlation Matrix'!$A$8:$A$46, 0)
            )
        )
    )
)</f>
        <v>1</v>
      </c>
      <c r="C7">
        <v>0.75</v>
      </c>
      <c r="D7">
        <v>0.25</v>
      </c>
      <c r="E7">
        <v>0.25</v>
      </c>
      <c r="F7">
        <v>1</v>
      </c>
      <c r="G7">
        <v>0.25</v>
      </c>
      <c r="H7">
        <v>0.25</v>
      </c>
      <c r="I7">
        <v>0.25</v>
      </c>
      <c r="J7">
        <v>0.25</v>
      </c>
      <c r="K7">
        <v>0.25</v>
      </c>
      <c r="L7">
        <v>0.25</v>
      </c>
      <c r="M7">
        <v>0.25</v>
      </c>
      <c r="N7">
        <v>0.25</v>
      </c>
      <c r="O7">
        <v>0.25</v>
      </c>
      <c r="P7">
        <v>0.25</v>
      </c>
      <c r="Q7">
        <v>0.25</v>
      </c>
      <c r="R7">
        <v>0.25</v>
      </c>
      <c r="S7">
        <v>0.5</v>
      </c>
      <c r="T7">
        <v>0.25</v>
      </c>
      <c r="U7">
        <v>0.25</v>
      </c>
      <c r="V7">
        <v>0.25</v>
      </c>
      <c r="W7">
        <v>0.25</v>
      </c>
      <c r="X7">
        <v>0.25</v>
      </c>
      <c r="Y7">
        <v>0.25</v>
      </c>
      <c r="Z7">
        <v>0.25</v>
      </c>
      <c r="AA7">
        <v>0.25</v>
      </c>
      <c r="AB7">
        <v>0.25</v>
      </c>
      <c r="AC7">
        <v>0.25</v>
      </c>
      <c r="AD7">
        <v>0.25</v>
      </c>
      <c r="AE7">
        <v>0.25</v>
      </c>
      <c r="AF7">
        <v>0.25</v>
      </c>
      <c r="AG7">
        <v>0.25</v>
      </c>
      <c r="AH7">
        <v>0.25</v>
      </c>
    </row>
    <row r="8" spans="1:34">
      <c r="A8" s="49" t="str">
        <v>1b</v>
      </c>
      <c r="B8">
        <v>0.75</v>
      </c>
      <c r="C8">
        <v>1</v>
      </c>
      <c r="D8">
        <v>0.25</v>
      </c>
      <c r="E8">
        <v>0.25</v>
      </c>
      <c r="F8">
        <v>0.75</v>
      </c>
      <c r="G8">
        <v>0.25</v>
      </c>
      <c r="H8">
        <v>0.25</v>
      </c>
      <c r="I8">
        <v>0.25</v>
      </c>
      <c r="J8">
        <v>0.25</v>
      </c>
      <c r="K8">
        <v>0.25</v>
      </c>
      <c r="L8">
        <v>0.25</v>
      </c>
      <c r="M8">
        <v>0.25</v>
      </c>
      <c r="N8">
        <v>0.25</v>
      </c>
      <c r="O8">
        <v>0.25</v>
      </c>
      <c r="P8">
        <v>0.25</v>
      </c>
      <c r="Q8">
        <v>0.25</v>
      </c>
      <c r="R8">
        <v>0.25</v>
      </c>
      <c r="S8">
        <v>0.5</v>
      </c>
      <c r="T8">
        <v>0.25</v>
      </c>
      <c r="U8">
        <v>0.25</v>
      </c>
      <c r="V8">
        <v>0.25</v>
      </c>
      <c r="W8">
        <v>0.25</v>
      </c>
      <c r="X8">
        <v>0.25</v>
      </c>
      <c r="Y8">
        <v>0.25</v>
      </c>
      <c r="Z8">
        <v>0.25</v>
      </c>
      <c r="AA8">
        <v>0.25</v>
      </c>
      <c r="AB8">
        <v>0.25</v>
      </c>
      <c r="AC8">
        <v>0.25</v>
      </c>
      <c r="AD8">
        <v>0.25</v>
      </c>
      <c r="AE8">
        <v>0.25</v>
      </c>
      <c r="AF8">
        <v>0.25</v>
      </c>
      <c r="AG8">
        <v>0.25</v>
      </c>
      <c r="AH8">
        <v>0.25</v>
      </c>
    </row>
    <row r="9" spans="1:34">
      <c r="A9" s="49" t="str">
        <v>2a</v>
      </c>
      <c r="B9">
        <v>0.25</v>
      </c>
      <c r="C9">
        <v>0.25</v>
      </c>
      <c r="D9">
        <v>1</v>
      </c>
      <c r="E9">
        <v>0.75</v>
      </c>
      <c r="F9">
        <v>0.25</v>
      </c>
      <c r="G9">
        <v>0.25</v>
      </c>
      <c r="H9">
        <v>0.25</v>
      </c>
      <c r="I9">
        <v>0.5</v>
      </c>
      <c r="J9">
        <v>0.5</v>
      </c>
      <c r="K9">
        <v>0.25</v>
      </c>
      <c r="L9">
        <v>0.25</v>
      </c>
      <c r="M9">
        <v>0.25</v>
      </c>
      <c r="N9">
        <v>0.25</v>
      </c>
      <c r="O9">
        <v>0.25</v>
      </c>
      <c r="P9">
        <v>0.25</v>
      </c>
      <c r="Q9">
        <v>0.25</v>
      </c>
      <c r="R9">
        <v>0.25</v>
      </c>
      <c r="S9">
        <v>0.25</v>
      </c>
      <c r="T9">
        <v>0.25</v>
      </c>
      <c r="U9">
        <v>0.25</v>
      </c>
      <c r="V9">
        <v>0.25</v>
      </c>
      <c r="W9">
        <v>0.25</v>
      </c>
      <c r="X9">
        <v>0.25</v>
      </c>
      <c r="Y9">
        <v>0.25</v>
      </c>
      <c r="Z9">
        <v>0.25</v>
      </c>
      <c r="AA9">
        <v>0.25</v>
      </c>
      <c r="AB9">
        <v>0.25</v>
      </c>
      <c r="AC9">
        <v>0.25</v>
      </c>
      <c r="AD9">
        <v>0.25</v>
      </c>
      <c r="AE9">
        <v>0.25</v>
      </c>
      <c r="AF9">
        <v>0.25</v>
      </c>
      <c r="AG9">
        <v>0.25</v>
      </c>
      <c r="AH9">
        <v>0.25</v>
      </c>
    </row>
    <row r="10" spans="1:34">
      <c r="A10" s="49" t="str">
        <v>2b</v>
      </c>
      <c r="B10">
        <v>0.25</v>
      </c>
      <c r="C10">
        <v>0.25</v>
      </c>
      <c r="D10">
        <v>0.75</v>
      </c>
      <c r="E10">
        <v>1</v>
      </c>
      <c r="F10">
        <v>0.25</v>
      </c>
      <c r="G10">
        <v>0.25</v>
      </c>
      <c r="H10">
        <v>0.25</v>
      </c>
      <c r="I10">
        <v>0.5</v>
      </c>
      <c r="J10">
        <v>0.5</v>
      </c>
      <c r="K10">
        <v>0.25</v>
      </c>
      <c r="L10">
        <v>0.25</v>
      </c>
      <c r="M10">
        <v>0.25</v>
      </c>
      <c r="N10">
        <v>0.25</v>
      </c>
      <c r="O10">
        <v>0.25</v>
      </c>
      <c r="P10">
        <v>0.25</v>
      </c>
      <c r="Q10">
        <v>0.25</v>
      </c>
      <c r="R10">
        <v>0.25</v>
      </c>
      <c r="S10">
        <v>0.25</v>
      </c>
      <c r="T10">
        <v>0.25</v>
      </c>
      <c r="U10">
        <v>0.25</v>
      </c>
      <c r="V10">
        <v>0.25</v>
      </c>
      <c r="W10">
        <v>0.25</v>
      </c>
      <c r="X10">
        <v>0.25</v>
      </c>
      <c r="Y10">
        <v>0.25</v>
      </c>
      <c r="Z10">
        <v>0.25</v>
      </c>
      <c r="AA10">
        <v>0.25</v>
      </c>
      <c r="AB10">
        <v>0.25</v>
      </c>
      <c r="AC10">
        <v>0.25</v>
      </c>
      <c r="AD10">
        <v>0.25</v>
      </c>
      <c r="AE10">
        <v>0.25</v>
      </c>
      <c r="AF10">
        <v>0.25</v>
      </c>
      <c r="AG10">
        <v>0.25</v>
      </c>
      <c r="AH10">
        <v>0.25</v>
      </c>
    </row>
    <row r="11" spans="1:34">
      <c r="A11" s="49" t="str">
        <v>1a</v>
      </c>
      <c r="B11">
        <v>1</v>
      </c>
      <c r="C11">
        <v>0.75</v>
      </c>
      <c r="D11">
        <v>0.25</v>
      </c>
      <c r="E11">
        <v>0.25</v>
      </c>
      <c r="F11">
        <v>1</v>
      </c>
      <c r="G11">
        <v>0.25</v>
      </c>
      <c r="H11">
        <v>0.25</v>
      </c>
      <c r="I11">
        <v>0.25</v>
      </c>
      <c r="J11">
        <v>0.25</v>
      </c>
      <c r="K11">
        <v>0.25</v>
      </c>
      <c r="L11">
        <v>0.25</v>
      </c>
      <c r="M11">
        <v>0.25</v>
      </c>
      <c r="N11">
        <v>0.25</v>
      </c>
      <c r="O11">
        <v>0.25</v>
      </c>
      <c r="P11">
        <v>0.25</v>
      </c>
      <c r="Q11">
        <v>0.25</v>
      </c>
      <c r="R11">
        <v>0.25</v>
      </c>
      <c r="S11">
        <v>0.5</v>
      </c>
      <c r="T11">
        <v>0.25</v>
      </c>
      <c r="U11">
        <v>0.25</v>
      </c>
      <c r="V11">
        <v>0.25</v>
      </c>
      <c r="W11">
        <v>0.25</v>
      </c>
      <c r="X11">
        <v>0.25</v>
      </c>
      <c r="Y11">
        <v>0.25</v>
      </c>
      <c r="Z11">
        <v>0.25</v>
      </c>
      <c r="AA11">
        <v>0.25</v>
      </c>
      <c r="AB11">
        <v>0.25</v>
      </c>
      <c r="AC11">
        <v>0.25</v>
      </c>
      <c r="AD11">
        <v>0.25</v>
      </c>
      <c r="AE11">
        <v>0.25</v>
      </c>
      <c r="AF11">
        <v>0.25</v>
      </c>
      <c r="AG11">
        <v>0.25</v>
      </c>
      <c r="AH11">
        <v>0.25</v>
      </c>
    </row>
    <row r="12" spans="1:34">
      <c r="A12" s="49" t="str">
        <v>3ii</v>
      </c>
      <c r="B12">
        <v>0.25</v>
      </c>
      <c r="C12">
        <v>0.25</v>
      </c>
      <c r="D12">
        <v>0.25</v>
      </c>
      <c r="E12">
        <v>0.25</v>
      </c>
      <c r="F12">
        <v>0.25</v>
      </c>
      <c r="G12">
        <v>1</v>
      </c>
      <c r="H12">
        <v>0.75</v>
      </c>
      <c r="I12">
        <v>0.25</v>
      </c>
      <c r="J12">
        <v>0.25</v>
      </c>
      <c r="K12">
        <v>0.25</v>
      </c>
      <c r="L12">
        <v>0.25</v>
      </c>
      <c r="M12">
        <v>0.25</v>
      </c>
      <c r="N12">
        <v>0.25</v>
      </c>
      <c r="O12">
        <v>0.25</v>
      </c>
      <c r="P12">
        <v>0.25</v>
      </c>
      <c r="Q12">
        <v>0.25</v>
      </c>
      <c r="R12">
        <v>0.25</v>
      </c>
      <c r="S12">
        <v>0.25</v>
      </c>
      <c r="T12">
        <v>0.25</v>
      </c>
      <c r="U12">
        <v>0.25</v>
      </c>
      <c r="V12">
        <v>0.25</v>
      </c>
      <c r="W12">
        <v>0.25</v>
      </c>
      <c r="X12">
        <v>0.25</v>
      </c>
      <c r="Y12">
        <v>0.25</v>
      </c>
      <c r="Z12">
        <v>0.25</v>
      </c>
      <c r="AA12">
        <v>0.25</v>
      </c>
      <c r="AB12">
        <v>0.25</v>
      </c>
      <c r="AC12">
        <v>0.25</v>
      </c>
      <c r="AD12">
        <v>0.25</v>
      </c>
      <c r="AE12">
        <v>0.25</v>
      </c>
      <c r="AF12">
        <v>0.25</v>
      </c>
      <c r="AG12">
        <v>0.25</v>
      </c>
      <c r="AH12">
        <v>0.25</v>
      </c>
    </row>
    <row r="13" spans="1:34">
      <c r="A13" s="49" t="str">
        <v>3iii</v>
      </c>
      <c r="B13">
        <v>0.25</v>
      </c>
      <c r="C13">
        <v>0.25</v>
      </c>
      <c r="D13">
        <v>0.25</v>
      </c>
      <c r="E13">
        <v>0.25</v>
      </c>
      <c r="F13">
        <v>0.25</v>
      </c>
      <c r="G13">
        <v>0.75</v>
      </c>
      <c r="H13">
        <v>1</v>
      </c>
      <c r="I13">
        <v>0.25</v>
      </c>
      <c r="J13">
        <v>0.25</v>
      </c>
      <c r="K13">
        <v>0.25</v>
      </c>
      <c r="L13">
        <v>0.25</v>
      </c>
      <c r="M13">
        <v>0.25</v>
      </c>
      <c r="N13">
        <v>0.25</v>
      </c>
      <c r="O13">
        <v>0.25</v>
      </c>
      <c r="P13">
        <v>0.25</v>
      </c>
      <c r="Q13">
        <v>0.25</v>
      </c>
      <c r="R13">
        <v>0.25</v>
      </c>
      <c r="S13">
        <v>0.25</v>
      </c>
      <c r="T13">
        <v>0.25</v>
      </c>
      <c r="U13">
        <v>0.25</v>
      </c>
      <c r="V13">
        <v>0.25</v>
      </c>
      <c r="W13">
        <v>0.25</v>
      </c>
      <c r="X13">
        <v>0.25</v>
      </c>
      <c r="Y13">
        <v>0.25</v>
      </c>
      <c r="Z13">
        <v>0.25</v>
      </c>
      <c r="AA13">
        <v>0.25</v>
      </c>
      <c r="AB13">
        <v>0.25</v>
      </c>
      <c r="AC13">
        <v>0.25</v>
      </c>
      <c r="AD13">
        <v>0.25</v>
      </c>
      <c r="AE13">
        <v>0.25</v>
      </c>
      <c r="AF13">
        <v>0.25</v>
      </c>
      <c r="AG13">
        <v>0.25</v>
      </c>
      <c r="AH13">
        <v>0.25</v>
      </c>
    </row>
    <row r="14" spans="1:34">
      <c r="A14" s="49" t="str">
        <v>4i</v>
      </c>
      <c r="B14">
        <v>0.25</v>
      </c>
      <c r="C14">
        <v>0.25</v>
      </c>
      <c r="D14">
        <v>0.5</v>
      </c>
      <c r="E14">
        <v>0.5</v>
      </c>
      <c r="F14">
        <v>0.25</v>
      </c>
      <c r="G14">
        <v>0.25</v>
      </c>
      <c r="H14">
        <v>0.25</v>
      </c>
      <c r="I14">
        <v>1</v>
      </c>
      <c r="J14">
        <v>0.75</v>
      </c>
      <c r="K14">
        <v>0.25</v>
      </c>
      <c r="L14">
        <v>0.25</v>
      </c>
      <c r="M14">
        <v>0.25</v>
      </c>
      <c r="N14">
        <v>0.25</v>
      </c>
      <c r="O14">
        <v>0.25</v>
      </c>
      <c r="P14">
        <v>0.25</v>
      </c>
      <c r="Q14">
        <v>0.25</v>
      </c>
      <c r="R14">
        <v>0.25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0.25</v>
      </c>
      <c r="Y14">
        <v>0.25</v>
      </c>
      <c r="Z14">
        <v>0.25</v>
      </c>
      <c r="AA14">
        <v>0.25</v>
      </c>
      <c r="AB14">
        <v>0.25</v>
      </c>
      <c r="AC14">
        <v>0.25</v>
      </c>
      <c r="AD14">
        <v>0.25</v>
      </c>
      <c r="AE14">
        <v>0.25</v>
      </c>
      <c r="AF14">
        <v>0.25</v>
      </c>
      <c r="AG14">
        <v>0.25</v>
      </c>
      <c r="AH14">
        <v>0.25</v>
      </c>
    </row>
    <row r="15" spans="1:34">
      <c r="A15" s="49" t="str">
        <v>4ii</v>
      </c>
      <c r="B15">
        <v>0.25</v>
      </c>
      <c r="C15">
        <v>0.25</v>
      </c>
      <c r="D15">
        <v>0.5</v>
      </c>
      <c r="E15">
        <v>0.5</v>
      </c>
      <c r="F15">
        <v>0.25</v>
      </c>
      <c r="G15">
        <v>0.25</v>
      </c>
      <c r="H15">
        <v>0.25</v>
      </c>
      <c r="I15">
        <v>0.75</v>
      </c>
      <c r="J15">
        <v>1</v>
      </c>
      <c r="K15">
        <v>0.25</v>
      </c>
      <c r="L15">
        <v>0.25</v>
      </c>
      <c r="M15">
        <v>0.25</v>
      </c>
      <c r="N15">
        <v>0.25</v>
      </c>
      <c r="O15">
        <v>0.25</v>
      </c>
      <c r="P15">
        <v>0.25</v>
      </c>
      <c r="Q15">
        <v>0.25</v>
      </c>
      <c r="R15">
        <v>0.25</v>
      </c>
      <c r="S15">
        <v>0.25</v>
      </c>
      <c r="T15">
        <v>0.25</v>
      </c>
      <c r="U15">
        <v>0.25</v>
      </c>
      <c r="V15">
        <v>0.25</v>
      </c>
      <c r="W15">
        <v>0.25</v>
      </c>
      <c r="X15">
        <v>0.25</v>
      </c>
      <c r="Y15">
        <v>0.25</v>
      </c>
      <c r="Z15">
        <v>0.25</v>
      </c>
      <c r="AA15">
        <v>0.25</v>
      </c>
      <c r="AB15">
        <v>0.25</v>
      </c>
      <c r="AC15">
        <v>0.25</v>
      </c>
      <c r="AD15">
        <v>0.25</v>
      </c>
      <c r="AE15">
        <v>0.25</v>
      </c>
      <c r="AF15">
        <v>0.25</v>
      </c>
      <c r="AG15">
        <v>0.25</v>
      </c>
      <c r="AH15">
        <v>0.25</v>
      </c>
    </row>
    <row r="16" spans="1:34">
      <c r="A16" s="49" t="str">
        <v>5i</v>
      </c>
      <c r="B16">
        <v>0.25</v>
      </c>
      <c r="C16">
        <v>0.25</v>
      </c>
      <c r="D16">
        <v>0.25</v>
      </c>
      <c r="E16">
        <v>0.25</v>
      </c>
      <c r="F16">
        <v>0.25</v>
      </c>
      <c r="G16">
        <v>0.25</v>
      </c>
      <c r="H16">
        <v>0.25</v>
      </c>
      <c r="I16">
        <v>0.25</v>
      </c>
      <c r="J16">
        <v>0.25</v>
      </c>
      <c r="K16">
        <v>1</v>
      </c>
      <c r="L16">
        <v>0.75</v>
      </c>
      <c r="M16">
        <v>0.25</v>
      </c>
      <c r="N16">
        <v>0.25</v>
      </c>
      <c r="O16">
        <v>0.5</v>
      </c>
      <c r="P16">
        <v>0.5</v>
      </c>
      <c r="Q16">
        <v>0.25</v>
      </c>
      <c r="R16">
        <v>0.25</v>
      </c>
      <c r="S16">
        <v>0.25</v>
      </c>
      <c r="T16">
        <v>0.25</v>
      </c>
      <c r="U16">
        <v>0.25</v>
      </c>
      <c r="V16">
        <v>0.25</v>
      </c>
      <c r="W16">
        <v>0.25</v>
      </c>
      <c r="X16">
        <v>0.25</v>
      </c>
      <c r="Y16">
        <v>0.25</v>
      </c>
      <c r="Z16">
        <v>0.25</v>
      </c>
      <c r="AA16">
        <v>0.25</v>
      </c>
      <c r="AB16">
        <v>0.25</v>
      </c>
      <c r="AC16">
        <v>0.25</v>
      </c>
      <c r="AD16">
        <v>0.25</v>
      </c>
      <c r="AE16">
        <v>0.25</v>
      </c>
      <c r="AF16">
        <v>0.25</v>
      </c>
      <c r="AG16">
        <v>0.25</v>
      </c>
      <c r="AH16">
        <v>0.25</v>
      </c>
    </row>
    <row r="17" spans="1:34">
      <c r="A17" s="49" t="str">
        <v>5ii</v>
      </c>
      <c r="B17">
        <v>0.25</v>
      </c>
      <c r="C17">
        <v>0.25</v>
      </c>
      <c r="D17">
        <v>0.25</v>
      </c>
      <c r="E17">
        <v>0.25</v>
      </c>
      <c r="F17">
        <v>0.25</v>
      </c>
      <c r="G17">
        <v>0.25</v>
      </c>
      <c r="H17">
        <v>0.25</v>
      </c>
      <c r="I17">
        <v>0.25</v>
      </c>
      <c r="J17">
        <v>0.25</v>
      </c>
      <c r="K17">
        <v>0.75</v>
      </c>
      <c r="L17">
        <v>1</v>
      </c>
      <c r="M17">
        <v>0.25</v>
      </c>
      <c r="N17">
        <v>0.25</v>
      </c>
      <c r="O17">
        <v>0.5</v>
      </c>
      <c r="P17">
        <v>0.5</v>
      </c>
      <c r="Q17">
        <v>0.25</v>
      </c>
      <c r="R17">
        <v>0.25</v>
      </c>
      <c r="S17">
        <v>0.25</v>
      </c>
      <c r="T17">
        <v>0.25</v>
      </c>
      <c r="U17">
        <v>0.25</v>
      </c>
      <c r="V17">
        <v>0.25</v>
      </c>
      <c r="W17">
        <v>0.25</v>
      </c>
      <c r="X17">
        <v>0.25</v>
      </c>
      <c r="Y17">
        <v>0.25</v>
      </c>
      <c r="Z17">
        <v>0.25</v>
      </c>
      <c r="AA17">
        <v>0.25</v>
      </c>
      <c r="AB17">
        <v>0.25</v>
      </c>
      <c r="AC17">
        <v>0.25</v>
      </c>
      <c r="AD17">
        <v>0.25</v>
      </c>
      <c r="AE17">
        <v>0.25</v>
      </c>
      <c r="AF17">
        <v>0.25</v>
      </c>
      <c r="AG17">
        <v>0.25</v>
      </c>
      <c r="AH17">
        <v>0.25</v>
      </c>
    </row>
    <row r="18" spans="1:34">
      <c r="A18" s="49" t="str">
        <v>6i</v>
      </c>
      <c r="B18">
        <v>0.25</v>
      </c>
      <c r="C18">
        <v>0.25</v>
      </c>
      <c r="D18">
        <v>0.25</v>
      </c>
      <c r="E18">
        <v>0.25</v>
      </c>
      <c r="F18">
        <v>0.25</v>
      </c>
      <c r="G18">
        <v>0.25</v>
      </c>
      <c r="H18">
        <v>0.25</v>
      </c>
      <c r="I18">
        <v>0.25</v>
      </c>
      <c r="J18">
        <v>0.25</v>
      </c>
      <c r="K18">
        <v>0.25</v>
      </c>
      <c r="L18">
        <v>0.25</v>
      </c>
      <c r="M18">
        <v>1</v>
      </c>
      <c r="N18">
        <v>0.75</v>
      </c>
      <c r="O18">
        <v>0.5</v>
      </c>
      <c r="P18">
        <v>0.5</v>
      </c>
      <c r="Q18">
        <v>0.25</v>
      </c>
      <c r="R18">
        <v>0.25</v>
      </c>
      <c r="S18">
        <v>0.25</v>
      </c>
      <c r="T18">
        <v>0.25</v>
      </c>
      <c r="U18">
        <v>0.25</v>
      </c>
      <c r="V18">
        <v>0.25</v>
      </c>
      <c r="W18">
        <v>0.25</v>
      </c>
      <c r="X18">
        <v>0.25</v>
      </c>
      <c r="Y18">
        <v>0.25</v>
      </c>
      <c r="Z18">
        <v>0.25</v>
      </c>
      <c r="AA18">
        <v>0.25</v>
      </c>
      <c r="AB18">
        <v>0.25</v>
      </c>
      <c r="AC18">
        <v>0.25</v>
      </c>
      <c r="AD18">
        <v>0.25</v>
      </c>
      <c r="AE18">
        <v>0.25</v>
      </c>
      <c r="AF18">
        <v>0.25</v>
      </c>
      <c r="AG18">
        <v>0.25</v>
      </c>
      <c r="AH18">
        <v>0.25</v>
      </c>
    </row>
    <row r="19" spans="1:34">
      <c r="A19" s="49" t="str">
        <v>6ii</v>
      </c>
      <c r="B19">
        <v>0.25</v>
      </c>
      <c r="C19">
        <v>0.25</v>
      </c>
      <c r="D19">
        <v>0.25</v>
      </c>
      <c r="E19">
        <v>0.25</v>
      </c>
      <c r="F19">
        <v>0.25</v>
      </c>
      <c r="G19">
        <v>0.25</v>
      </c>
      <c r="H19">
        <v>0.25</v>
      </c>
      <c r="I19">
        <v>0.25</v>
      </c>
      <c r="J19">
        <v>0.25</v>
      </c>
      <c r="K19">
        <v>0.25</v>
      </c>
      <c r="L19">
        <v>0.25</v>
      </c>
      <c r="M19">
        <v>0.75</v>
      </c>
      <c r="N19">
        <v>1</v>
      </c>
      <c r="O19">
        <v>0.5</v>
      </c>
      <c r="P19">
        <v>0.5</v>
      </c>
      <c r="Q19">
        <v>0.25</v>
      </c>
      <c r="R19">
        <v>0.25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0.25</v>
      </c>
      <c r="Y19">
        <v>0.25</v>
      </c>
      <c r="Z19">
        <v>0.25</v>
      </c>
      <c r="AA19">
        <v>0.25</v>
      </c>
      <c r="AB19">
        <v>0.25</v>
      </c>
      <c r="AC19">
        <v>0.25</v>
      </c>
      <c r="AD19">
        <v>0.25</v>
      </c>
      <c r="AE19">
        <v>0.25</v>
      </c>
      <c r="AF19">
        <v>0.25</v>
      </c>
      <c r="AG19">
        <v>0.25</v>
      </c>
      <c r="AH19">
        <v>0.25</v>
      </c>
    </row>
    <row r="20" spans="1:34">
      <c r="A20" s="49" t="str">
        <v>7i</v>
      </c>
      <c r="B20">
        <v>0.25</v>
      </c>
      <c r="C20">
        <v>0.25</v>
      </c>
      <c r="D20">
        <v>0.25</v>
      </c>
      <c r="E20">
        <v>0.25</v>
      </c>
      <c r="F20">
        <v>0.25</v>
      </c>
      <c r="G20">
        <v>0.25</v>
      </c>
      <c r="H20">
        <v>0.25</v>
      </c>
      <c r="I20">
        <v>0.25</v>
      </c>
      <c r="J20">
        <v>0.25</v>
      </c>
      <c r="K20">
        <v>0.5</v>
      </c>
      <c r="L20">
        <v>0.5</v>
      </c>
      <c r="M20">
        <v>0.5</v>
      </c>
      <c r="N20">
        <v>0.5</v>
      </c>
      <c r="O20">
        <v>1</v>
      </c>
      <c r="P20">
        <v>0.75</v>
      </c>
      <c r="Q20">
        <v>0.5</v>
      </c>
      <c r="R20">
        <v>0.5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0.25</v>
      </c>
      <c r="Y20">
        <v>0.25</v>
      </c>
      <c r="Z20">
        <v>0.25</v>
      </c>
      <c r="AA20">
        <v>0.25</v>
      </c>
      <c r="AB20">
        <v>0.25</v>
      </c>
      <c r="AC20">
        <v>0.25</v>
      </c>
      <c r="AD20">
        <v>0.25</v>
      </c>
      <c r="AE20">
        <v>0.25</v>
      </c>
      <c r="AF20">
        <v>0.25</v>
      </c>
      <c r="AG20">
        <v>0.25</v>
      </c>
      <c r="AH20">
        <v>0.25</v>
      </c>
    </row>
    <row r="21" spans="1:34">
      <c r="A21" s="49" t="str">
        <v>7ii</v>
      </c>
      <c r="B21">
        <v>0.25</v>
      </c>
      <c r="C21">
        <v>0.25</v>
      </c>
      <c r="D21">
        <v>0.25</v>
      </c>
      <c r="E21">
        <v>0.25</v>
      </c>
      <c r="F21">
        <v>0.25</v>
      </c>
      <c r="G21">
        <v>0.25</v>
      </c>
      <c r="H21">
        <v>0.25</v>
      </c>
      <c r="I21">
        <v>0.25</v>
      </c>
      <c r="J21">
        <v>0.25</v>
      </c>
      <c r="K21">
        <v>0.5</v>
      </c>
      <c r="L21">
        <v>0.5</v>
      </c>
      <c r="M21">
        <v>0.5</v>
      </c>
      <c r="N21">
        <v>0.5</v>
      </c>
      <c r="O21">
        <v>0.75</v>
      </c>
      <c r="P21">
        <v>1</v>
      </c>
      <c r="Q21">
        <v>0.5</v>
      </c>
      <c r="R21">
        <v>0.5</v>
      </c>
      <c r="S21">
        <v>0.25</v>
      </c>
      <c r="T21">
        <v>0.25</v>
      </c>
      <c r="U21">
        <v>0.25</v>
      </c>
      <c r="V21">
        <v>0.25</v>
      </c>
      <c r="W21">
        <v>0.25</v>
      </c>
      <c r="X21">
        <v>0.25</v>
      </c>
      <c r="Y21">
        <v>0.25</v>
      </c>
      <c r="Z21">
        <v>0.25</v>
      </c>
      <c r="AA21">
        <v>0.25</v>
      </c>
      <c r="AB21">
        <v>0.25</v>
      </c>
      <c r="AC21">
        <v>0.25</v>
      </c>
      <c r="AD21">
        <v>0.25</v>
      </c>
      <c r="AE21">
        <v>0.25</v>
      </c>
      <c r="AF21">
        <v>0.25</v>
      </c>
      <c r="AG21">
        <v>0.25</v>
      </c>
      <c r="AH21">
        <v>0.25</v>
      </c>
    </row>
    <row r="22" spans="1:34">
      <c r="A22" s="49" t="str">
        <v>8i</v>
      </c>
      <c r="B22">
        <v>0.25</v>
      </c>
      <c r="C22">
        <v>0.25</v>
      </c>
      <c r="D22">
        <v>0.25</v>
      </c>
      <c r="E22">
        <v>0.25</v>
      </c>
      <c r="F22">
        <v>0.25</v>
      </c>
      <c r="G22">
        <v>0.25</v>
      </c>
      <c r="H22">
        <v>0.25</v>
      </c>
      <c r="I22">
        <v>0.25</v>
      </c>
      <c r="J22">
        <v>0.25</v>
      </c>
      <c r="K22">
        <v>0.25</v>
      </c>
      <c r="L22">
        <v>0.25</v>
      </c>
      <c r="M22">
        <v>0.25</v>
      </c>
      <c r="N22">
        <v>0.25</v>
      </c>
      <c r="O22">
        <v>0.5</v>
      </c>
      <c r="P22">
        <v>0.5</v>
      </c>
      <c r="Q22">
        <v>1</v>
      </c>
      <c r="R22">
        <v>0.75</v>
      </c>
      <c r="S22">
        <v>0.25</v>
      </c>
      <c r="T22">
        <v>0.25</v>
      </c>
      <c r="U22">
        <v>0.25</v>
      </c>
      <c r="V22">
        <v>0.25</v>
      </c>
      <c r="W22">
        <v>0.25</v>
      </c>
      <c r="X22">
        <v>0.25</v>
      </c>
      <c r="Y22">
        <v>0.25</v>
      </c>
      <c r="Z22">
        <v>0.25</v>
      </c>
      <c r="AA22">
        <v>0.25</v>
      </c>
      <c r="AB22">
        <v>0.25</v>
      </c>
      <c r="AC22">
        <v>0.25</v>
      </c>
      <c r="AD22">
        <v>0.25</v>
      </c>
      <c r="AE22">
        <v>0.25</v>
      </c>
      <c r="AF22">
        <v>0.25</v>
      </c>
      <c r="AG22">
        <v>0.25</v>
      </c>
      <c r="AH22">
        <v>0.25</v>
      </c>
    </row>
    <row r="23" spans="1:34">
      <c r="A23" s="49" t="str">
        <v>8ii</v>
      </c>
      <c r="B23">
        <v>0.25</v>
      </c>
      <c r="C23">
        <v>0.25</v>
      </c>
      <c r="D23">
        <v>0.25</v>
      </c>
      <c r="E23">
        <v>0.25</v>
      </c>
      <c r="F23">
        <v>0.25</v>
      </c>
      <c r="G23">
        <v>0.25</v>
      </c>
      <c r="H23">
        <v>0.25</v>
      </c>
      <c r="I23">
        <v>0.25</v>
      </c>
      <c r="J23">
        <v>0.25</v>
      </c>
      <c r="K23">
        <v>0.25</v>
      </c>
      <c r="L23">
        <v>0.25</v>
      </c>
      <c r="M23">
        <v>0.25</v>
      </c>
      <c r="N23">
        <v>0.25</v>
      </c>
      <c r="O23">
        <v>0.5</v>
      </c>
      <c r="P23">
        <v>0.5</v>
      </c>
      <c r="Q23">
        <v>0.75</v>
      </c>
      <c r="R23">
        <v>1</v>
      </c>
      <c r="S23">
        <v>0.25</v>
      </c>
      <c r="T23">
        <v>0.25</v>
      </c>
      <c r="U23">
        <v>0.25</v>
      </c>
      <c r="V23">
        <v>0.25</v>
      </c>
      <c r="W23">
        <v>0.25</v>
      </c>
      <c r="X23">
        <v>0.25</v>
      </c>
      <c r="Y23">
        <v>0.25</v>
      </c>
      <c r="Z23">
        <v>0.25</v>
      </c>
      <c r="AA23">
        <v>0.25</v>
      </c>
      <c r="AB23">
        <v>0.25</v>
      </c>
      <c r="AC23">
        <v>0.25</v>
      </c>
      <c r="AD23">
        <v>0.25</v>
      </c>
      <c r="AE23">
        <v>0.25</v>
      </c>
      <c r="AF23">
        <v>0.25</v>
      </c>
      <c r="AG23">
        <v>0.25</v>
      </c>
      <c r="AH23">
        <v>0.25</v>
      </c>
    </row>
    <row r="24" spans="1:34">
      <c r="A24" s="49" t="str">
        <v>9</v>
      </c>
      <c r="B24">
        <v>0.5</v>
      </c>
      <c r="C24">
        <v>0.5</v>
      </c>
      <c r="D24">
        <v>0.25</v>
      </c>
      <c r="E24">
        <v>0.25</v>
      </c>
      <c r="F24">
        <v>0.5</v>
      </c>
      <c r="G24">
        <v>0.25</v>
      </c>
      <c r="H24">
        <v>0.25</v>
      </c>
      <c r="I24">
        <v>0.25</v>
      </c>
      <c r="J24">
        <v>0.25</v>
      </c>
      <c r="K24">
        <v>0.25</v>
      </c>
      <c r="L24">
        <v>0.25</v>
      </c>
      <c r="M24">
        <v>0.25</v>
      </c>
      <c r="N24">
        <v>0.25</v>
      </c>
      <c r="O24">
        <v>0.25</v>
      </c>
      <c r="P24">
        <v>0.25</v>
      </c>
      <c r="Q24">
        <v>0.25</v>
      </c>
      <c r="R24">
        <v>0.25</v>
      </c>
      <c r="S24">
        <v>1</v>
      </c>
      <c r="T24">
        <v>0.25</v>
      </c>
      <c r="U24">
        <v>0.25</v>
      </c>
      <c r="V24">
        <v>0.25</v>
      </c>
      <c r="W24">
        <v>0.25</v>
      </c>
      <c r="X24">
        <v>0.5</v>
      </c>
      <c r="Y24">
        <v>0.25</v>
      </c>
      <c r="Z24">
        <v>0.25</v>
      </c>
      <c r="AA24">
        <v>0.25</v>
      </c>
      <c r="AB24">
        <v>0.5</v>
      </c>
      <c r="AC24">
        <v>0.25</v>
      </c>
      <c r="AD24">
        <v>0.25</v>
      </c>
      <c r="AE24">
        <v>0.25</v>
      </c>
      <c r="AF24">
        <v>0.25</v>
      </c>
      <c r="AG24">
        <v>0.25</v>
      </c>
      <c r="AH24">
        <v>0.25</v>
      </c>
    </row>
    <row r="25" spans="1:34">
      <c r="A25" s="49" t="str">
        <v>10i</v>
      </c>
      <c r="B25">
        <v>0.25</v>
      </c>
      <c r="C25">
        <v>0.25</v>
      </c>
      <c r="D25">
        <v>0.25</v>
      </c>
      <c r="E25">
        <v>0.25</v>
      </c>
      <c r="F25">
        <v>0.25</v>
      </c>
      <c r="G25">
        <v>0.25</v>
      </c>
      <c r="H25">
        <v>0.25</v>
      </c>
      <c r="I25">
        <v>0.25</v>
      </c>
      <c r="J25">
        <v>0.25</v>
      </c>
      <c r="K25">
        <v>0.25</v>
      </c>
      <c r="L25">
        <v>0.25</v>
      </c>
      <c r="M25">
        <v>0.25</v>
      </c>
      <c r="N25">
        <v>0.25</v>
      </c>
      <c r="O25">
        <v>0.25</v>
      </c>
      <c r="P25">
        <v>0.25</v>
      </c>
      <c r="Q25">
        <v>0.25</v>
      </c>
      <c r="R25">
        <v>0.25</v>
      </c>
      <c r="S25">
        <v>0.25</v>
      </c>
      <c r="T25">
        <v>1</v>
      </c>
      <c r="U25">
        <v>0.25</v>
      </c>
      <c r="V25">
        <v>0.5</v>
      </c>
      <c r="W25">
        <v>0.5</v>
      </c>
      <c r="X25">
        <v>0.5</v>
      </c>
      <c r="Y25">
        <v>0.25</v>
      </c>
      <c r="Z25">
        <v>0.5</v>
      </c>
      <c r="AA25">
        <v>0.25</v>
      </c>
      <c r="AB25">
        <v>0.25</v>
      </c>
      <c r="AC25">
        <v>0.25</v>
      </c>
      <c r="AD25">
        <v>0.25</v>
      </c>
      <c r="AE25">
        <v>0.25</v>
      </c>
      <c r="AF25">
        <v>0.25</v>
      </c>
      <c r="AG25">
        <v>0.25</v>
      </c>
      <c r="AH25">
        <v>0.25</v>
      </c>
    </row>
    <row r="26" spans="1:34">
      <c r="A26" s="49" t="str">
        <v>10ii</v>
      </c>
      <c r="B26">
        <v>0.25</v>
      </c>
      <c r="C26">
        <v>0.25</v>
      </c>
      <c r="D26">
        <v>0.25</v>
      </c>
      <c r="E26">
        <v>0.25</v>
      </c>
      <c r="F26">
        <v>0.25</v>
      </c>
      <c r="G26">
        <v>0.25</v>
      </c>
      <c r="H26">
        <v>0.25</v>
      </c>
      <c r="I26">
        <v>0.25</v>
      </c>
      <c r="J26">
        <v>0.25</v>
      </c>
      <c r="K26">
        <v>0.25</v>
      </c>
      <c r="L26">
        <v>0.25</v>
      </c>
      <c r="M26">
        <v>0.25</v>
      </c>
      <c r="N26">
        <v>0.25</v>
      </c>
      <c r="O26">
        <v>0.25</v>
      </c>
      <c r="P26">
        <v>0.25</v>
      </c>
      <c r="Q26">
        <v>0.25</v>
      </c>
      <c r="R26">
        <v>0.25</v>
      </c>
      <c r="S26">
        <v>0.25</v>
      </c>
      <c r="T26">
        <v>0.25</v>
      </c>
      <c r="U26">
        <v>1</v>
      </c>
      <c r="V26">
        <v>0.25</v>
      </c>
      <c r="W26">
        <v>0.25</v>
      </c>
      <c r="X26">
        <v>0.25</v>
      </c>
      <c r="Y26">
        <v>0.25</v>
      </c>
      <c r="Z26">
        <v>0.5</v>
      </c>
      <c r="AA26">
        <v>0.25</v>
      </c>
      <c r="AB26">
        <v>0.25</v>
      </c>
      <c r="AC26">
        <v>0.25</v>
      </c>
      <c r="AD26">
        <v>0.25</v>
      </c>
      <c r="AE26">
        <v>0.25</v>
      </c>
      <c r="AF26">
        <v>0.25</v>
      </c>
      <c r="AG26">
        <v>0.25</v>
      </c>
      <c r="AH26">
        <v>0.25</v>
      </c>
    </row>
    <row r="27" spans="1:34">
      <c r="A27" s="49" t="str">
        <v>10iii</v>
      </c>
      <c r="B27">
        <v>0.25</v>
      </c>
      <c r="C27">
        <v>0.25</v>
      </c>
      <c r="D27">
        <v>0.25</v>
      </c>
      <c r="E27">
        <v>0.25</v>
      </c>
      <c r="F27">
        <v>0.25</v>
      </c>
      <c r="G27">
        <v>0.25</v>
      </c>
      <c r="H27">
        <v>0.25</v>
      </c>
      <c r="I27">
        <v>0.25</v>
      </c>
      <c r="J27">
        <v>0.25</v>
      </c>
      <c r="K27">
        <v>0.25</v>
      </c>
      <c r="L27">
        <v>0.25</v>
      </c>
      <c r="M27">
        <v>0.25</v>
      </c>
      <c r="N27">
        <v>0.25</v>
      </c>
      <c r="O27">
        <v>0.25</v>
      </c>
      <c r="P27">
        <v>0.25</v>
      </c>
      <c r="Q27">
        <v>0.25</v>
      </c>
      <c r="R27">
        <v>0.25</v>
      </c>
      <c r="S27">
        <v>0.25</v>
      </c>
      <c r="T27">
        <v>0.5</v>
      </c>
      <c r="U27">
        <v>0.25</v>
      </c>
      <c r="V27">
        <v>1</v>
      </c>
      <c r="W27">
        <v>0.25</v>
      </c>
      <c r="X27">
        <v>0.5</v>
      </c>
      <c r="Y27">
        <v>0.25</v>
      </c>
      <c r="Z27">
        <v>0.5</v>
      </c>
      <c r="AA27">
        <v>0.25</v>
      </c>
      <c r="AB27">
        <v>0.25</v>
      </c>
      <c r="AC27">
        <v>0.25</v>
      </c>
      <c r="AD27">
        <v>0.25</v>
      </c>
      <c r="AE27">
        <v>0.25</v>
      </c>
      <c r="AF27">
        <v>0.25</v>
      </c>
      <c r="AG27">
        <v>0.25</v>
      </c>
      <c r="AH27">
        <v>0.25</v>
      </c>
    </row>
    <row r="28" spans="1:34">
      <c r="A28" s="49" t="str">
        <v>10iv</v>
      </c>
      <c r="B28">
        <v>0.25</v>
      </c>
      <c r="C28">
        <v>0.25</v>
      </c>
      <c r="D28">
        <v>0.25</v>
      </c>
      <c r="E28">
        <v>0.25</v>
      </c>
      <c r="F28">
        <v>0.25</v>
      </c>
      <c r="G28">
        <v>0.25</v>
      </c>
      <c r="H28">
        <v>0.25</v>
      </c>
      <c r="I28">
        <v>0.25</v>
      </c>
      <c r="J28">
        <v>0.25</v>
      </c>
      <c r="K28">
        <v>0.25</v>
      </c>
      <c r="L28">
        <v>0.25</v>
      </c>
      <c r="M28">
        <v>0.25</v>
      </c>
      <c r="N28">
        <v>0.25</v>
      </c>
      <c r="O28">
        <v>0.25</v>
      </c>
      <c r="P28">
        <v>0.25</v>
      </c>
      <c r="Q28">
        <v>0.25</v>
      </c>
      <c r="R28">
        <v>0.25</v>
      </c>
      <c r="S28">
        <v>0.25</v>
      </c>
      <c r="T28">
        <v>0.5</v>
      </c>
      <c r="U28">
        <v>0.25</v>
      </c>
      <c r="V28">
        <v>0.25</v>
      </c>
      <c r="W28">
        <v>1</v>
      </c>
      <c r="X28">
        <v>0.25</v>
      </c>
      <c r="Y28">
        <v>0.25</v>
      </c>
      <c r="Z28">
        <v>0.5</v>
      </c>
      <c r="AA28">
        <v>0.25</v>
      </c>
      <c r="AB28">
        <v>0.25</v>
      </c>
      <c r="AC28">
        <v>0.25</v>
      </c>
      <c r="AD28">
        <v>0.25</v>
      </c>
      <c r="AE28">
        <v>0.25</v>
      </c>
      <c r="AF28">
        <v>0.25</v>
      </c>
      <c r="AG28">
        <v>0.25</v>
      </c>
      <c r="AH28">
        <v>0.25</v>
      </c>
    </row>
    <row r="29" spans="1:34">
      <c r="A29" s="49" t="str">
        <v>10v</v>
      </c>
      <c r="B29">
        <v>0.25</v>
      </c>
      <c r="C29">
        <v>0.25</v>
      </c>
      <c r="D29">
        <v>0.25</v>
      </c>
      <c r="E29">
        <v>0.25</v>
      </c>
      <c r="F29">
        <v>0.25</v>
      </c>
      <c r="G29">
        <v>0.25</v>
      </c>
      <c r="H29">
        <v>0.25</v>
      </c>
      <c r="I29">
        <v>0.25</v>
      </c>
      <c r="J29">
        <v>0.25</v>
      </c>
      <c r="K29">
        <v>0.25</v>
      </c>
      <c r="L29">
        <v>0.25</v>
      </c>
      <c r="M29">
        <v>0.25</v>
      </c>
      <c r="N29">
        <v>0.25</v>
      </c>
      <c r="O29">
        <v>0.25</v>
      </c>
      <c r="P29">
        <v>0.25</v>
      </c>
      <c r="Q29">
        <v>0.25</v>
      </c>
      <c r="R29">
        <v>0.25</v>
      </c>
      <c r="S29">
        <v>0.5</v>
      </c>
      <c r="T29">
        <v>0.5</v>
      </c>
      <c r="U29">
        <v>0.25</v>
      </c>
      <c r="V29">
        <v>0.5</v>
      </c>
      <c r="W29">
        <v>0.25</v>
      </c>
      <c r="X29">
        <v>1</v>
      </c>
      <c r="Y29">
        <v>0.25</v>
      </c>
      <c r="Z29">
        <v>0.5</v>
      </c>
      <c r="AA29">
        <v>0.25</v>
      </c>
      <c r="AB29">
        <v>0.5</v>
      </c>
      <c r="AC29">
        <v>0.25</v>
      </c>
      <c r="AD29">
        <v>0.25</v>
      </c>
      <c r="AE29">
        <v>0.25</v>
      </c>
      <c r="AF29">
        <v>0.25</v>
      </c>
      <c r="AG29">
        <v>0.25</v>
      </c>
      <c r="AH29">
        <v>0.25</v>
      </c>
    </row>
    <row r="30" spans="1:34">
      <c r="A30" s="49" t="str">
        <v>10vi</v>
      </c>
      <c r="B30">
        <v>0.25</v>
      </c>
      <c r="C30">
        <v>0.25</v>
      </c>
      <c r="D30">
        <v>0.25</v>
      </c>
      <c r="E30">
        <v>0.25</v>
      </c>
      <c r="F30">
        <v>0.25</v>
      </c>
      <c r="G30">
        <v>0.25</v>
      </c>
      <c r="H30">
        <v>0.25</v>
      </c>
      <c r="I30">
        <v>0.25</v>
      </c>
      <c r="J30">
        <v>0.25</v>
      </c>
      <c r="K30">
        <v>0.25</v>
      </c>
      <c r="L30">
        <v>0.25</v>
      </c>
      <c r="M30">
        <v>0.25</v>
      </c>
      <c r="N30">
        <v>0.25</v>
      </c>
      <c r="O30">
        <v>0.25</v>
      </c>
      <c r="P30">
        <v>0.25</v>
      </c>
      <c r="Q30">
        <v>0.25</v>
      </c>
      <c r="R30">
        <v>0.25</v>
      </c>
      <c r="S30">
        <v>0.25</v>
      </c>
      <c r="T30">
        <v>0.25</v>
      </c>
      <c r="U30">
        <v>0.25</v>
      </c>
      <c r="V30">
        <v>0.25</v>
      </c>
      <c r="W30">
        <v>0.25</v>
      </c>
      <c r="X30">
        <v>0.25</v>
      </c>
      <c r="Y30">
        <v>1</v>
      </c>
      <c r="Z30">
        <v>0.5</v>
      </c>
      <c r="AA30">
        <v>0.25</v>
      </c>
      <c r="AB30">
        <v>0.25</v>
      </c>
      <c r="AC30">
        <v>0.25</v>
      </c>
      <c r="AD30">
        <v>0.5</v>
      </c>
      <c r="AE30">
        <v>0.25</v>
      </c>
      <c r="AF30">
        <v>0.25</v>
      </c>
      <c r="AG30">
        <v>0.25</v>
      </c>
      <c r="AH30">
        <v>0.25</v>
      </c>
    </row>
    <row r="31" spans="1:34">
      <c r="A31" s="49" t="str">
        <v>10vii</v>
      </c>
      <c r="B31">
        <v>0.25</v>
      </c>
      <c r="C31">
        <v>0.25</v>
      </c>
      <c r="D31">
        <v>0.25</v>
      </c>
      <c r="E31">
        <v>0.25</v>
      </c>
      <c r="F31">
        <v>0.25</v>
      </c>
      <c r="G31">
        <v>0.25</v>
      </c>
      <c r="H31">
        <v>0.25</v>
      </c>
      <c r="I31">
        <v>0.25</v>
      </c>
      <c r="J31">
        <v>0.25</v>
      </c>
      <c r="K31">
        <v>0.25</v>
      </c>
      <c r="L31">
        <v>0.25</v>
      </c>
      <c r="M31">
        <v>0.25</v>
      </c>
      <c r="N31">
        <v>0.25</v>
      </c>
      <c r="O31">
        <v>0.25</v>
      </c>
      <c r="P31">
        <v>0.25</v>
      </c>
      <c r="Q31">
        <v>0.25</v>
      </c>
      <c r="R31">
        <v>0.25</v>
      </c>
      <c r="S31">
        <v>0.25</v>
      </c>
      <c r="T31">
        <v>0.5</v>
      </c>
      <c r="U31">
        <v>0.5</v>
      </c>
      <c r="V31">
        <v>0.5</v>
      </c>
      <c r="W31">
        <v>0.5</v>
      </c>
      <c r="X31">
        <v>0.5</v>
      </c>
      <c r="Y31">
        <v>0.5</v>
      </c>
      <c r="Z31">
        <v>1</v>
      </c>
      <c r="AA31">
        <v>0.25</v>
      </c>
      <c r="AB31">
        <v>0.25</v>
      </c>
      <c r="AC31">
        <v>0.25</v>
      </c>
      <c r="AD31">
        <v>0.25</v>
      </c>
      <c r="AE31">
        <v>0.25</v>
      </c>
      <c r="AF31">
        <v>0.25</v>
      </c>
      <c r="AG31">
        <v>0.25</v>
      </c>
      <c r="AH31">
        <v>0.25</v>
      </c>
    </row>
    <row r="32" spans="1:34">
      <c r="A32" s="49" t="str">
        <v>18b</v>
      </c>
      <c r="B32">
        <v>0.25</v>
      </c>
      <c r="C32">
        <v>0.25</v>
      </c>
      <c r="D32">
        <v>0.25</v>
      </c>
      <c r="E32">
        <v>0.25</v>
      </c>
      <c r="F32">
        <v>0.25</v>
      </c>
      <c r="G32">
        <v>0.25</v>
      </c>
      <c r="H32">
        <v>0.25</v>
      </c>
      <c r="I32">
        <v>0.25</v>
      </c>
      <c r="J32">
        <v>0.25</v>
      </c>
      <c r="K32">
        <v>0.25</v>
      </c>
      <c r="L32">
        <v>0.25</v>
      </c>
      <c r="M32">
        <v>0.25</v>
      </c>
      <c r="N32">
        <v>0.25</v>
      </c>
      <c r="O32">
        <v>0.25</v>
      </c>
      <c r="P32">
        <v>0.25</v>
      </c>
      <c r="Q32">
        <v>0.25</v>
      </c>
      <c r="R32">
        <v>0.25</v>
      </c>
      <c r="S32">
        <v>0.25</v>
      </c>
      <c r="T32">
        <v>0.25</v>
      </c>
      <c r="U32">
        <v>0.25</v>
      </c>
      <c r="V32">
        <v>0.25</v>
      </c>
      <c r="W32">
        <v>0.25</v>
      </c>
      <c r="X32">
        <v>0.25</v>
      </c>
      <c r="Y32">
        <v>0.25</v>
      </c>
      <c r="Z32">
        <v>0.25</v>
      </c>
      <c r="AA32">
        <v>1</v>
      </c>
      <c r="AB32">
        <v>0.25</v>
      </c>
      <c r="AC32">
        <v>0.25</v>
      </c>
      <c r="AD32">
        <v>0.25</v>
      </c>
      <c r="AE32">
        <v>0.25</v>
      </c>
      <c r="AF32">
        <v>1</v>
      </c>
      <c r="AG32">
        <v>0.25</v>
      </c>
      <c r="AH32">
        <v>0.25</v>
      </c>
    </row>
    <row r="33" spans="1:34">
      <c r="A33" s="49" t="str">
        <v>13</v>
      </c>
      <c r="B33">
        <v>0.25</v>
      </c>
      <c r="C33">
        <v>0.25</v>
      </c>
      <c r="D33">
        <v>0.25</v>
      </c>
      <c r="E33">
        <v>0.25</v>
      </c>
      <c r="F33">
        <v>0.25</v>
      </c>
      <c r="G33">
        <v>0.25</v>
      </c>
      <c r="H33">
        <v>0.25</v>
      </c>
      <c r="I33">
        <v>0.25</v>
      </c>
      <c r="J33">
        <v>0.25</v>
      </c>
      <c r="K33">
        <v>0.25</v>
      </c>
      <c r="L33">
        <v>0.25</v>
      </c>
      <c r="M33">
        <v>0.25</v>
      </c>
      <c r="N33">
        <v>0.25</v>
      </c>
      <c r="O33">
        <v>0.25</v>
      </c>
      <c r="P33">
        <v>0.25</v>
      </c>
      <c r="Q33">
        <v>0.25</v>
      </c>
      <c r="R33">
        <v>0.25</v>
      </c>
      <c r="S33">
        <v>0.5</v>
      </c>
      <c r="T33">
        <v>0.25</v>
      </c>
      <c r="U33">
        <v>0.25</v>
      </c>
      <c r="V33">
        <v>0.25</v>
      </c>
      <c r="W33">
        <v>0.25</v>
      </c>
      <c r="X33">
        <v>0.5</v>
      </c>
      <c r="Y33">
        <v>0.25</v>
      </c>
      <c r="Z33">
        <v>0.25</v>
      </c>
      <c r="AA33">
        <v>0.25</v>
      </c>
      <c r="AB33">
        <v>1</v>
      </c>
      <c r="AC33">
        <v>0.75</v>
      </c>
      <c r="AD33">
        <v>0.25</v>
      </c>
      <c r="AE33">
        <v>0.25</v>
      </c>
      <c r="AF33">
        <v>0.25</v>
      </c>
      <c r="AG33">
        <v>0.25</v>
      </c>
      <c r="AH33">
        <v>0.25</v>
      </c>
    </row>
    <row r="34" spans="1:34">
      <c r="A34" s="49" t="str">
        <v>14</v>
      </c>
      <c r="B34">
        <v>0.25</v>
      </c>
      <c r="C34">
        <v>0.25</v>
      </c>
      <c r="D34">
        <v>0.25</v>
      </c>
      <c r="E34">
        <v>0.25</v>
      </c>
      <c r="F34">
        <v>0.25</v>
      </c>
      <c r="G34">
        <v>0.25</v>
      </c>
      <c r="H34">
        <v>0.25</v>
      </c>
      <c r="I34">
        <v>0.25</v>
      </c>
      <c r="J34">
        <v>0.25</v>
      </c>
      <c r="K34">
        <v>0.25</v>
      </c>
      <c r="L34">
        <v>0.25</v>
      </c>
      <c r="M34">
        <v>0.25</v>
      </c>
      <c r="N34">
        <v>0.25</v>
      </c>
      <c r="O34">
        <v>0.25</v>
      </c>
      <c r="P34">
        <v>0.25</v>
      </c>
      <c r="Q34">
        <v>0.25</v>
      </c>
      <c r="R34">
        <v>0.25</v>
      </c>
      <c r="S34">
        <v>0.25</v>
      </c>
      <c r="T34">
        <v>0.25</v>
      </c>
      <c r="U34">
        <v>0.25</v>
      </c>
      <c r="V34">
        <v>0.25</v>
      </c>
      <c r="W34">
        <v>0.25</v>
      </c>
      <c r="X34">
        <v>0.25</v>
      </c>
      <c r="Y34">
        <v>0.25</v>
      </c>
      <c r="Z34">
        <v>0.25</v>
      </c>
      <c r="AA34">
        <v>0.25</v>
      </c>
      <c r="AB34">
        <v>0.75</v>
      </c>
      <c r="AC34">
        <v>1</v>
      </c>
      <c r="AD34">
        <v>0.25</v>
      </c>
      <c r="AE34">
        <v>0.25</v>
      </c>
      <c r="AF34">
        <v>0.25</v>
      </c>
      <c r="AG34">
        <v>0.25</v>
      </c>
      <c r="AH34">
        <v>0.25</v>
      </c>
    </row>
    <row r="35" spans="1:34">
      <c r="A35" s="49" t="str">
        <v>15</v>
      </c>
      <c r="B35">
        <v>0.25</v>
      </c>
      <c r="C35">
        <v>0.25</v>
      </c>
      <c r="D35">
        <v>0.25</v>
      </c>
      <c r="E35">
        <v>0.25</v>
      </c>
      <c r="F35">
        <v>0.25</v>
      </c>
      <c r="G35">
        <v>0.25</v>
      </c>
      <c r="H35">
        <v>0.25</v>
      </c>
      <c r="I35">
        <v>0.25</v>
      </c>
      <c r="J35">
        <v>0.25</v>
      </c>
      <c r="K35">
        <v>0.25</v>
      </c>
      <c r="L35">
        <v>0.25</v>
      </c>
      <c r="M35">
        <v>0.25</v>
      </c>
      <c r="N35">
        <v>0.25</v>
      </c>
      <c r="O35">
        <v>0.25</v>
      </c>
      <c r="P35">
        <v>0.25</v>
      </c>
      <c r="Q35">
        <v>0.25</v>
      </c>
      <c r="R35">
        <v>0.25</v>
      </c>
      <c r="S35">
        <v>0.25</v>
      </c>
      <c r="T35">
        <v>0.25</v>
      </c>
      <c r="U35">
        <v>0.25</v>
      </c>
      <c r="V35">
        <v>0.25</v>
      </c>
      <c r="W35">
        <v>0.25</v>
      </c>
      <c r="X35">
        <v>0.25</v>
      </c>
      <c r="Y35">
        <v>0.5</v>
      </c>
      <c r="Z35">
        <v>0.25</v>
      </c>
      <c r="AA35">
        <v>0.25</v>
      </c>
      <c r="AB35">
        <v>0.25</v>
      </c>
      <c r="AC35">
        <v>0.25</v>
      </c>
      <c r="AD35">
        <v>1</v>
      </c>
      <c r="AE35">
        <v>0.25</v>
      </c>
      <c r="AF35">
        <v>0.25</v>
      </c>
      <c r="AG35">
        <v>0.25</v>
      </c>
      <c r="AH35">
        <v>0.25</v>
      </c>
    </row>
    <row r="36" spans="1:34">
      <c r="A36" s="49" t="str">
        <v>16i</v>
      </c>
      <c r="B36">
        <v>0.25</v>
      </c>
      <c r="C36">
        <v>0.25</v>
      </c>
      <c r="D36">
        <v>0.25</v>
      </c>
      <c r="E36">
        <v>0.25</v>
      </c>
      <c r="F36">
        <v>0.25</v>
      </c>
      <c r="G36">
        <v>0.25</v>
      </c>
      <c r="H36">
        <v>0.25</v>
      </c>
      <c r="I36">
        <v>0.25</v>
      </c>
      <c r="J36">
        <v>0.25</v>
      </c>
      <c r="K36">
        <v>0.25</v>
      </c>
      <c r="L36">
        <v>0.25</v>
      </c>
      <c r="M36">
        <v>0.25</v>
      </c>
      <c r="N36">
        <v>0.25</v>
      </c>
      <c r="O36">
        <v>0.25</v>
      </c>
      <c r="P36">
        <v>0.25</v>
      </c>
      <c r="Q36">
        <v>0.25</v>
      </c>
      <c r="R36">
        <v>0.25</v>
      </c>
      <c r="S36">
        <v>0.25</v>
      </c>
      <c r="T36">
        <v>0.25</v>
      </c>
      <c r="U36">
        <v>0.25</v>
      </c>
      <c r="V36">
        <v>0.25</v>
      </c>
      <c r="W36">
        <v>0.25</v>
      </c>
      <c r="X36">
        <v>0.25</v>
      </c>
      <c r="Y36">
        <v>0.25</v>
      </c>
      <c r="Z36">
        <v>0.25</v>
      </c>
      <c r="AA36">
        <v>0.25</v>
      </c>
      <c r="AB36">
        <v>0.25</v>
      </c>
      <c r="AC36">
        <v>0.25</v>
      </c>
      <c r="AD36">
        <v>0.25</v>
      </c>
      <c r="AE36">
        <v>1</v>
      </c>
      <c r="AF36">
        <v>0.25</v>
      </c>
      <c r="AG36">
        <v>0.25</v>
      </c>
      <c r="AH36">
        <v>0.25</v>
      </c>
    </row>
    <row r="37" spans="1:34">
      <c r="A37" s="49" t="str">
        <v>18b</v>
      </c>
      <c r="B37">
        <v>0.25</v>
      </c>
      <c r="C37">
        <v>0.25</v>
      </c>
      <c r="D37">
        <v>0.25</v>
      </c>
      <c r="E37">
        <v>0.25</v>
      </c>
      <c r="F37">
        <v>0.25</v>
      </c>
      <c r="G37">
        <v>0.25</v>
      </c>
      <c r="H37">
        <v>0.25</v>
      </c>
      <c r="I37">
        <v>0.25</v>
      </c>
      <c r="J37">
        <v>0.25</v>
      </c>
      <c r="K37">
        <v>0.25</v>
      </c>
      <c r="L37">
        <v>0.25</v>
      </c>
      <c r="M37">
        <v>0.25</v>
      </c>
      <c r="N37">
        <v>0.25</v>
      </c>
      <c r="O37">
        <v>0.25</v>
      </c>
      <c r="P37">
        <v>0.25</v>
      </c>
      <c r="Q37">
        <v>0.25</v>
      </c>
      <c r="R37">
        <v>0.25</v>
      </c>
      <c r="S37">
        <v>0.25</v>
      </c>
      <c r="T37">
        <v>0.25</v>
      </c>
      <c r="U37">
        <v>0.25</v>
      </c>
      <c r="V37">
        <v>0.25</v>
      </c>
      <c r="W37">
        <v>0.25</v>
      </c>
      <c r="X37">
        <v>0.25</v>
      </c>
      <c r="Y37">
        <v>0.25</v>
      </c>
      <c r="Z37">
        <v>0.25</v>
      </c>
      <c r="AA37">
        <v>1</v>
      </c>
      <c r="AB37">
        <v>0.25</v>
      </c>
      <c r="AC37">
        <v>0.25</v>
      </c>
      <c r="AD37">
        <v>0.25</v>
      </c>
      <c r="AE37">
        <v>0.25</v>
      </c>
      <c r="AF37">
        <v>1</v>
      </c>
      <c r="AG37">
        <v>0.25</v>
      </c>
      <c r="AH37">
        <v>0.25</v>
      </c>
    </row>
    <row r="38" spans="1:34">
      <c r="A38" s="49" t="str">
        <v>18c</v>
      </c>
      <c r="B38">
        <v>0.25</v>
      </c>
      <c r="C38">
        <v>0.25</v>
      </c>
      <c r="D38">
        <v>0.25</v>
      </c>
      <c r="E38">
        <v>0.25</v>
      </c>
      <c r="F38">
        <v>0.25</v>
      </c>
      <c r="G38">
        <v>0.25</v>
      </c>
      <c r="H38">
        <v>0.25</v>
      </c>
      <c r="I38">
        <v>0.25</v>
      </c>
      <c r="J38">
        <v>0.25</v>
      </c>
      <c r="K38">
        <v>0.25</v>
      </c>
      <c r="L38">
        <v>0.25</v>
      </c>
      <c r="M38">
        <v>0.25</v>
      </c>
      <c r="N38">
        <v>0.25</v>
      </c>
      <c r="O38">
        <v>0.25</v>
      </c>
      <c r="P38">
        <v>0.25</v>
      </c>
      <c r="Q38">
        <v>0.25</v>
      </c>
      <c r="R38">
        <v>0.25</v>
      </c>
      <c r="S38">
        <v>0.25</v>
      </c>
      <c r="T38">
        <v>0.25</v>
      </c>
      <c r="U38">
        <v>0.25</v>
      </c>
      <c r="V38">
        <v>0.25</v>
      </c>
      <c r="W38">
        <v>0.25</v>
      </c>
      <c r="X38">
        <v>0.25</v>
      </c>
      <c r="Y38">
        <v>0.25</v>
      </c>
      <c r="Z38">
        <v>0.25</v>
      </c>
      <c r="AA38">
        <v>0.25</v>
      </c>
      <c r="AB38">
        <v>0.25</v>
      </c>
      <c r="AC38">
        <v>0.25</v>
      </c>
      <c r="AD38">
        <v>0.25</v>
      </c>
      <c r="AE38">
        <v>0.25</v>
      </c>
      <c r="AF38">
        <v>0.25</v>
      </c>
      <c r="AG38">
        <v>1</v>
      </c>
      <c r="AH38">
        <v>0.25</v>
      </c>
    </row>
    <row r="39" spans="1:34">
      <c r="A39" s="49" t="str">
        <v>17ii</v>
      </c>
      <c r="B39">
        <v>0.25</v>
      </c>
      <c r="C39">
        <v>0.25</v>
      </c>
      <c r="D39">
        <v>0.25</v>
      </c>
      <c r="E39">
        <v>0.25</v>
      </c>
      <c r="F39">
        <v>0.25</v>
      </c>
      <c r="G39">
        <v>0.25</v>
      </c>
      <c r="H39">
        <v>0.25</v>
      </c>
      <c r="I39">
        <v>0.25</v>
      </c>
      <c r="J39">
        <v>0.25</v>
      </c>
      <c r="K39">
        <v>0.25</v>
      </c>
      <c r="L39">
        <v>0.25</v>
      </c>
      <c r="M39">
        <v>0.25</v>
      </c>
      <c r="N39">
        <v>0.25</v>
      </c>
      <c r="O39">
        <v>0.25</v>
      </c>
      <c r="P39">
        <v>0.25</v>
      </c>
      <c r="Q39">
        <v>0.25</v>
      </c>
      <c r="R39">
        <v>0.25</v>
      </c>
      <c r="S39">
        <v>0.25</v>
      </c>
      <c r="T39">
        <v>0.25</v>
      </c>
      <c r="U39">
        <v>0.25</v>
      </c>
      <c r="V39">
        <v>0.25</v>
      </c>
      <c r="W39">
        <v>0.25</v>
      </c>
      <c r="X39">
        <v>0.25</v>
      </c>
      <c r="Y39">
        <v>0.25</v>
      </c>
      <c r="Z39">
        <v>0.25</v>
      </c>
      <c r="AA39">
        <v>0.25</v>
      </c>
      <c r="AB39">
        <v>0.25</v>
      </c>
      <c r="AC39">
        <v>0.25</v>
      </c>
      <c r="AD39">
        <v>0.25</v>
      </c>
      <c r="AE39">
        <v>0.25</v>
      </c>
      <c r="AF39">
        <v>0.25</v>
      </c>
      <c r="AG39">
        <v>0.25</v>
      </c>
      <c r="AH39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68153-1076-4485-8D59-D6EA5DBCA349}">
  <sheetPr codeName="Sheet31"/>
  <dimension ref="A1:FP134"/>
  <sheetViews>
    <sheetView topLeftCell="A7" zoomScale="85" zoomScaleNormal="85" workbookViewId="0">
      <selection activeCell="A19" sqref="A19"/>
    </sheetView>
  </sheetViews>
  <sheetFormatPr defaultRowHeight="14.5"/>
  <cols>
    <col min="1" max="1" width="7.453125" customWidth="1"/>
    <col min="2" max="2" width="12.81640625" bestFit="1" customWidth="1"/>
    <col min="3" max="3" width="19.6328125" customWidth="1"/>
    <col min="4" max="10" width="16.90625" customWidth="1"/>
    <col min="11" max="11" width="13.1796875" bestFit="1" customWidth="1"/>
    <col min="12" max="12" width="17.26953125" bestFit="1" customWidth="1"/>
    <col min="13" max="13" width="20" bestFit="1" customWidth="1"/>
    <col min="14" max="14" width="21.81640625" bestFit="1" customWidth="1"/>
    <col min="15" max="15" width="20.1796875" bestFit="1" customWidth="1"/>
    <col min="16" max="17" width="16.90625" bestFit="1" customWidth="1"/>
    <col min="18" max="18" width="1.26953125" customWidth="1"/>
    <col min="19" max="21" width="14.81640625" customWidth="1"/>
    <col min="22" max="22" width="1.26953125" customWidth="1"/>
    <col min="23" max="36" width="16.1796875" customWidth="1"/>
    <col min="37" max="37" width="1.453125" customWidth="1"/>
    <col min="38" max="51" width="16.1796875" customWidth="1"/>
    <col min="52" max="52" width="1.453125" customWidth="1"/>
    <col min="53" max="60" width="17" customWidth="1"/>
    <col min="61" max="61" width="1.1796875" customWidth="1"/>
    <col min="62" max="63" width="17" customWidth="1"/>
    <col min="64" max="64" width="1.54296875" customWidth="1"/>
    <col min="65" max="65" width="8.7265625" customWidth="1"/>
    <col min="66" max="67" width="13.81640625" customWidth="1"/>
    <col min="68" max="68" width="1.54296875" customWidth="1"/>
    <col min="69" max="70" width="15.81640625" style="72" customWidth="1"/>
    <col min="71" max="75" width="15.81640625" customWidth="1"/>
    <col min="76" max="76" width="1.1796875" customWidth="1"/>
    <col min="77" max="77" width="12" bestFit="1" customWidth="1"/>
    <col min="78" max="78" width="15.54296875" customWidth="1"/>
  </cols>
  <sheetData>
    <row r="1" spans="1:78">
      <c r="A1" t="str" cm="1">
        <f t="array" aca="1" ref="A1" ca="1">CELL("filename",A1)</f>
        <v>C:\Sync\git_hub\vba_samplicity\[01_magnus_premres.xlsm]PremRes Replication</v>
      </c>
    </row>
    <row r="2" spans="1:78">
      <c r="A2" s="14" t="s">
        <v>256</v>
      </c>
    </row>
    <row r="3" spans="1:78">
      <c r="A3" s="14" t="s">
        <v>258</v>
      </c>
    </row>
    <row r="4" spans="1:78">
      <c r="S4" s="14"/>
    </row>
    <row r="5" spans="1:78">
      <c r="S5" s="14"/>
    </row>
    <row r="6" spans="1:78">
      <c r="B6" s="76" t="s">
        <v>189</v>
      </c>
      <c r="C6" s="71" cm="1">
        <f t="array" ref="C6:C8">TRANSPOSE(Summary!$F$8:$H$8)</f>
        <v>1</v>
      </c>
    </row>
    <row r="7" spans="1:78">
      <c r="B7" s="76" t="s">
        <v>205</v>
      </c>
      <c r="C7" s="71" t="str">
        <v>*</v>
      </c>
    </row>
    <row r="8" spans="1:78">
      <c r="B8" s="76" t="s">
        <v>221</v>
      </c>
      <c r="C8" s="71" t="str">
        <v>calculated net charge</v>
      </c>
    </row>
    <row r="10" spans="1:78">
      <c r="S10" s="26"/>
      <c r="T10" s="75"/>
    </row>
    <row r="11" spans="1:78">
      <c r="K11" s="11"/>
      <c r="Q11" s="11"/>
      <c r="S11" s="14"/>
    </row>
    <row r="12" spans="1:78">
      <c r="D12" s="25"/>
      <c r="K12" s="11"/>
      <c r="S12" s="1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L12" s="74"/>
      <c r="AM12" s="74"/>
      <c r="AN12" s="74"/>
      <c r="AO12" s="74"/>
      <c r="AP12" s="74"/>
      <c r="AQ12" s="74"/>
      <c r="AR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S12" s="23"/>
    </row>
    <row r="13" spans="1:78">
      <c r="A13" s="127" t="s">
        <v>484</v>
      </c>
      <c r="B13" s="128"/>
      <c r="C13" s="128"/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9"/>
      <c r="S13" s="127" t="s">
        <v>485</v>
      </c>
      <c r="T13" s="128"/>
      <c r="U13" s="129"/>
      <c r="W13" s="130" t="s">
        <v>486</v>
      </c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  <c r="AH13" s="131"/>
      <c r="AI13" s="131"/>
      <c r="AJ13" s="132"/>
      <c r="AL13" s="127" t="s">
        <v>489</v>
      </c>
      <c r="AM13" s="128"/>
      <c r="AN13" s="128"/>
      <c r="AO13" s="128"/>
      <c r="AP13" s="128"/>
      <c r="AQ13" s="128"/>
      <c r="AR13" s="129"/>
      <c r="AS13" s="127" t="s">
        <v>490</v>
      </c>
      <c r="AT13" s="128"/>
      <c r="AU13" s="128"/>
      <c r="AV13" s="128"/>
      <c r="AW13" s="128"/>
      <c r="AX13" s="128"/>
      <c r="AY13" s="129"/>
      <c r="BA13" s="130" t="s">
        <v>491</v>
      </c>
      <c r="BB13" s="131"/>
      <c r="BC13" s="131"/>
      <c r="BD13" s="131"/>
      <c r="BE13" s="131"/>
      <c r="BF13" s="131"/>
      <c r="BG13" s="131"/>
      <c r="BH13" s="132"/>
      <c r="BI13" s="74"/>
      <c r="BJ13" s="130" t="s">
        <v>492</v>
      </c>
      <c r="BK13" s="132"/>
      <c r="BM13" s="133" t="s">
        <v>493</v>
      </c>
      <c r="BN13" s="134"/>
      <c r="BO13" s="135"/>
      <c r="BQ13" s="136" t="s">
        <v>494</v>
      </c>
      <c r="BR13" s="137"/>
      <c r="BS13" s="137"/>
      <c r="BT13" s="137"/>
      <c r="BU13" s="137"/>
      <c r="BV13" s="137"/>
      <c r="BW13" s="138"/>
      <c r="BY13" s="127" t="s">
        <v>495</v>
      </c>
      <c r="BZ13" s="129"/>
    </row>
    <row r="14" spans="1:78"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S14" s="23"/>
    </row>
    <row r="15" spans="1:78"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L15" s="77">
        <v>1</v>
      </c>
      <c r="AM15" s="77">
        <v>2</v>
      </c>
      <c r="AN15" s="77">
        <v>3</v>
      </c>
      <c r="AO15" s="77">
        <v>4</v>
      </c>
      <c r="AP15" s="77">
        <v>5</v>
      </c>
      <c r="AQ15" s="77">
        <v>6</v>
      </c>
      <c r="AR15" s="77">
        <v>7</v>
      </c>
      <c r="BA15" s="74"/>
      <c r="BB15" s="74"/>
      <c r="BC15" s="74"/>
      <c r="BD15" s="74"/>
      <c r="BE15" s="74"/>
      <c r="BF15" s="74"/>
      <c r="BG15" s="74"/>
      <c r="BH15" s="74"/>
      <c r="BI15" s="74"/>
      <c r="BJ15" s="74"/>
      <c r="BK15" s="74"/>
      <c r="BS15" s="23"/>
    </row>
    <row r="16" spans="1:78">
      <c r="D16" s="127" t="s">
        <v>488</v>
      </c>
      <c r="E16" s="128"/>
      <c r="F16" s="128"/>
      <c r="G16" s="128"/>
      <c r="H16" s="128"/>
      <c r="I16" s="128"/>
      <c r="J16" s="129"/>
      <c r="K16" s="127" t="s">
        <v>487</v>
      </c>
      <c r="L16" s="128"/>
      <c r="M16" s="128"/>
      <c r="N16" s="128"/>
      <c r="O16" s="128"/>
      <c r="P16" s="128"/>
      <c r="Q16" s="129"/>
      <c r="W16" s="52">
        <f>SUM(W19:W133)</f>
        <v>92048412</v>
      </c>
      <c r="X16" s="52">
        <f>SUM(X19:X133)</f>
        <v>82970968.920000032</v>
      </c>
      <c r="Y16" s="52">
        <f>SUM(Y19:Y133)</f>
        <v>95700</v>
      </c>
      <c r="Z16" s="52">
        <f>SUM(Z19:Z133)</f>
        <v>61187</v>
      </c>
      <c r="AA16" s="52">
        <f>SUM(AA19:AA133)</f>
        <v>46216</v>
      </c>
      <c r="AB16" s="52">
        <f>SUM(AB19:AB133)</f>
        <v>37668066.689999998</v>
      </c>
      <c r="AC16" s="52">
        <f>SUM(AC19:AC133)</f>
        <v>0</v>
      </c>
      <c r="AD16" s="52">
        <f>SUM(AD19:AD133)</f>
        <v>80896902.149999991</v>
      </c>
      <c r="AE16" s="52">
        <f>SUM(AE19:AE133)</f>
        <v>87403873.180500031</v>
      </c>
      <c r="AF16" s="52">
        <f>SUM(AF19:AF133)</f>
        <v>82480</v>
      </c>
      <c r="AG16" s="52">
        <f>SUM(AG19:AG133)</f>
        <v>0</v>
      </c>
      <c r="AH16" s="52">
        <f>SUM(AH19:AH133)</f>
        <v>0</v>
      </c>
      <c r="AI16" s="52">
        <f>SUM(AI19:AI133)</f>
        <v>31189739.104000002</v>
      </c>
      <c r="AJ16" s="52">
        <f>SUM(AJ19:AJ133)</f>
        <v>0</v>
      </c>
      <c r="AL16" s="52">
        <f>SUM(_xlfn.ANCHORARRAY(AL19))</f>
        <v>76925360.439999998</v>
      </c>
      <c r="AM16" s="52">
        <f>SUM(_xlfn.ANCHORARRAY(AM19))</f>
        <v>68632099.09480001</v>
      </c>
      <c r="AN16" s="52">
        <f>SUM(_xlfn.ANCHORARRAY(AN19))</f>
        <v>83713</v>
      </c>
      <c r="AO16" s="52">
        <f>SUM(_xlfn.ANCHORARRAY(AO19))</f>
        <v>58732.7</v>
      </c>
      <c r="AP16" s="52">
        <f>SUM(_xlfn.ANCHORARRAY(AP19))</f>
        <v>46177.75</v>
      </c>
      <c r="AQ16" s="52">
        <f>SUM(_xlfn.ANCHORARRAY(AQ19))</f>
        <v>31799918.474400006</v>
      </c>
      <c r="AR16" s="52">
        <f>SUM(_xlfn.ANCHORARRAY(AR19))</f>
        <v>0</v>
      </c>
      <c r="AS16" s="52">
        <f>SUM(_xlfn.ANCHORARRAY(AS19))</f>
        <v>76925360.439999998</v>
      </c>
      <c r="AT16" s="52">
        <f>SUM(_xlfn.ANCHORARRAY(AT19))</f>
        <v>68632099.09480001</v>
      </c>
      <c r="AU16" s="52">
        <f>SUM(_xlfn.ANCHORARRAY(AU19))</f>
        <v>83713</v>
      </c>
      <c r="AV16" s="52">
        <f>SUM(_xlfn.ANCHORARRAY(AV19))</f>
        <v>58732.7</v>
      </c>
      <c r="AW16" s="52">
        <f>SUM(_xlfn.ANCHORARRAY(AW19))</f>
        <v>46177.75</v>
      </c>
      <c r="AX16" s="52">
        <f>SUM(_xlfn.ANCHORARRAY(AX19))</f>
        <v>31799918.474400006</v>
      </c>
      <c r="AY16" s="52">
        <f>SUM(_xlfn.ANCHORARRAY(AY19))</f>
        <v>0</v>
      </c>
      <c r="BA16" s="52">
        <f>SUM(_xlfn.ANCHORARRAY(BA19))</f>
        <v>104706560.79000001</v>
      </c>
      <c r="BB16" s="52">
        <f>SUM(_xlfn.ANCHORARRAY(BB19))</f>
        <v>37668066.689999998</v>
      </c>
      <c r="BC16" s="52">
        <f>SUM(_xlfn.ANCHORARRAY(BC19))</f>
        <v>89782539.860000014</v>
      </c>
      <c r="BD16" s="52">
        <f>SUM(_xlfn.ANCHORARRAY(BD19))</f>
        <v>31189739.104000002</v>
      </c>
      <c r="BE16" s="52">
        <f>SUM(_xlfn.ANCHORARRAY(BE19))</f>
        <v>89035037.404000014</v>
      </c>
      <c r="BF16" s="52">
        <f>SUM(_xlfn.ANCHORARRAY(BF19))</f>
        <v>31799918.474400006</v>
      </c>
      <c r="BG16" s="52">
        <f>SUM(_xlfn.ANCHORARRAY(BG19))</f>
        <v>89035037.404000014</v>
      </c>
      <c r="BH16" s="52">
        <f>SUM(_xlfn.ANCHORARRAY(BH19))</f>
        <v>31799918.474400006</v>
      </c>
      <c r="BI16" s="74"/>
      <c r="BJ16" s="52">
        <f>SUM(_xlfn.ANCHORARRAY(BJ19))</f>
        <v>89035037.404000014</v>
      </c>
      <c r="BK16" s="52">
        <f>SUM(_xlfn.ANCHORARRAY(BK19))</f>
        <v>31799918.474400006</v>
      </c>
      <c r="BS16" s="52">
        <f>SUM(_xlfn.ANCHORARRAY(BS19))</f>
        <v>13870399.200419681</v>
      </c>
      <c r="BT16" s="52">
        <f>SUM(_xlfn.ANCHORARRAY(BT19))</f>
        <v>120834955.87839994</v>
      </c>
      <c r="BU16" s="11"/>
      <c r="BV16" s="52">
        <f>SUM(_xlfn.ANCHORARRAY(BV19))</f>
        <v>120834955.87839994</v>
      </c>
      <c r="BW16" s="52">
        <f>SUM(_xlfn.ANCHORARRAY(BW19))</f>
        <v>13870399.200419681</v>
      </c>
    </row>
    <row r="17" spans="1:78">
      <c r="BJ17" s="23"/>
    </row>
    <row r="18" spans="1:78">
      <c r="A18" s="54" t="s">
        <v>191</v>
      </c>
      <c r="B18" s="53" t="s">
        <v>190</v>
      </c>
      <c r="C18" s="53" t="s">
        <v>206</v>
      </c>
      <c r="D18" s="53" t="s">
        <v>223</v>
      </c>
      <c r="E18" s="53" t="s">
        <v>224</v>
      </c>
      <c r="F18" s="53" t="s">
        <v>225</v>
      </c>
      <c r="G18" s="53" t="s">
        <v>226</v>
      </c>
      <c r="H18" s="53" t="s">
        <v>227</v>
      </c>
      <c r="I18" s="53" t="s">
        <v>228</v>
      </c>
      <c r="J18" s="53" t="s">
        <v>229</v>
      </c>
      <c r="K18" s="53" t="s">
        <v>215</v>
      </c>
      <c r="L18" s="53" t="s">
        <v>216</v>
      </c>
      <c r="M18" s="53" t="s">
        <v>217</v>
      </c>
      <c r="N18" s="53" t="s">
        <v>218</v>
      </c>
      <c r="O18" s="53" t="s">
        <v>219</v>
      </c>
      <c r="P18" s="53" t="s">
        <v>222</v>
      </c>
      <c r="Q18" s="53" t="s">
        <v>220</v>
      </c>
      <c r="S18" s="54" t="s">
        <v>190</v>
      </c>
      <c r="T18" s="54" t="s">
        <v>1</v>
      </c>
      <c r="U18" s="54" t="s">
        <v>191</v>
      </c>
      <c r="W18" s="53" t="s">
        <v>3</v>
      </c>
      <c r="X18" s="53" t="s">
        <v>4</v>
      </c>
      <c r="Y18" s="53" t="s">
        <v>5</v>
      </c>
      <c r="Z18" s="53" t="s">
        <v>6</v>
      </c>
      <c r="AA18" s="53" t="s">
        <v>7</v>
      </c>
      <c r="AB18" s="53" t="s">
        <v>8</v>
      </c>
      <c r="AC18" s="53" t="s">
        <v>9</v>
      </c>
      <c r="AD18" s="53" t="s">
        <v>10</v>
      </c>
      <c r="AE18" s="53" t="s">
        <v>11</v>
      </c>
      <c r="AF18" s="53" t="s">
        <v>12</v>
      </c>
      <c r="AG18" s="53" t="s">
        <v>13</v>
      </c>
      <c r="AH18" s="53" t="s">
        <v>14</v>
      </c>
      <c r="AI18" s="53" t="s">
        <v>15</v>
      </c>
      <c r="AJ18" s="53" t="s">
        <v>16</v>
      </c>
      <c r="AL18" s="53" t="s">
        <v>223</v>
      </c>
      <c r="AM18" s="53" t="s">
        <v>224</v>
      </c>
      <c r="AN18" s="53" t="s">
        <v>225</v>
      </c>
      <c r="AO18" s="53" t="s">
        <v>226</v>
      </c>
      <c r="AP18" s="53" t="s">
        <v>227</v>
      </c>
      <c r="AQ18" s="53" t="s">
        <v>228</v>
      </c>
      <c r="AR18" s="53" t="s">
        <v>229</v>
      </c>
      <c r="AS18" s="53" t="s">
        <v>215</v>
      </c>
      <c r="AT18" s="53" t="s">
        <v>216</v>
      </c>
      <c r="AU18" s="53" t="s">
        <v>217</v>
      </c>
      <c r="AV18" s="53" t="s">
        <v>218</v>
      </c>
      <c r="AW18" s="53" t="s">
        <v>219</v>
      </c>
      <c r="AX18" s="53" t="s">
        <v>222</v>
      </c>
      <c r="AY18" s="53" t="s">
        <v>220</v>
      </c>
      <c r="BA18" s="78" t="s">
        <v>192</v>
      </c>
      <c r="BB18" s="78" t="s">
        <v>8</v>
      </c>
      <c r="BC18" s="78" t="s">
        <v>212</v>
      </c>
      <c r="BD18" s="78" t="s">
        <v>15</v>
      </c>
      <c r="BE18" s="78" t="s">
        <v>213</v>
      </c>
      <c r="BF18" s="78" t="s">
        <v>214</v>
      </c>
      <c r="BG18" s="78" t="s">
        <v>230</v>
      </c>
      <c r="BH18" s="78" t="s">
        <v>222</v>
      </c>
      <c r="BI18" s="79"/>
      <c r="BJ18" s="78" t="s">
        <v>231</v>
      </c>
      <c r="BK18" s="78" t="s">
        <v>232</v>
      </c>
      <c r="BM18" s="45" t="s">
        <v>2</v>
      </c>
      <c r="BN18" s="45" t="s">
        <v>70</v>
      </c>
      <c r="BO18" s="45" t="s">
        <v>71</v>
      </c>
      <c r="BQ18" s="73" t="s">
        <v>70</v>
      </c>
      <c r="BR18" s="73" t="s">
        <v>71</v>
      </c>
      <c r="BS18" s="54" t="s">
        <v>193</v>
      </c>
      <c r="BT18" s="54" t="s">
        <v>194</v>
      </c>
      <c r="BU18" s="54" t="s">
        <v>195</v>
      </c>
      <c r="BV18" s="54" t="s">
        <v>196</v>
      </c>
      <c r="BW18" s="54" t="s">
        <v>197</v>
      </c>
    </row>
    <row r="19" spans="1:78">
      <c r="A19" t="str" cm="1">
        <f t="array" ref="A19:A58">_xlfn.BYROW(
    tPremRes[[lob_type]:[lob]],
    _xlfn.LAMBDA(_xlpm.r,
        _xlfn.LET(
            _xlpm.lob_type, INDEX(_xlpm.r,1),
            _xlpm.lob,      INDEX(_xlpm.r,2),
            _xlfn.IFS(
                OR(_xlpm.lob_type="D", _xlpm.lob_type="P", _xlpm.lob_type="FP"), _xlpm.lob,
                OR(_xlpm.lob_type="NP", _xlpm.lob_type="FNP"), "18b",
                OR(_xlpm.lob_type="O", _xlpm.lob_type="FO"), "18c",
                TRUE, "zzz"
            )
        )
    )
)</f>
        <v>1a</v>
      </c>
      <c r="B19" t="str" cm="1">
        <f t="array" ref="B19:B58">tPremRes[lob_type]&amp;"_"&amp;_xlfn.ANCHORARRAY(A19)</f>
        <v>D_1a</v>
      </c>
      <c r="C19" t="str" cm="1">
        <f t="array" ref="C19:C58">INDEX(tPremRes[[level_1]:[level_2]],0,$C$6)</f>
        <v>direct</v>
      </c>
      <c r="D19" s="10" cm="1">
        <f t="array" ref="D19:J58">tPremRes[[gross_p]:[gross_other]]*(1-SUMIFS(prem_res!$AA$6:$AA$17,prem_res!$Y$6:$Y$17,tPremRes[reinsurance_id]))</f>
        <v>1984598.55</v>
      </c>
      <c r="E19" s="10">
        <v>1964752.5645000003</v>
      </c>
      <c r="F19" s="10">
        <v>1155</v>
      </c>
      <c r="G19" s="10">
        <v>2999.7000000000003</v>
      </c>
      <c r="H19" s="10">
        <v>0</v>
      </c>
      <c r="I19" s="10">
        <v>893069.34750000003</v>
      </c>
      <c r="J19" s="10">
        <v>0</v>
      </c>
      <c r="K19" s="10" cm="1">
        <f t="array" ref="K19:Q58">tPremRes[[gross_p]:[gross_other]]*(1-SUMIFS(prem_res!$AA$6:$AA$17,prem_res!$Y$6:$Y$17,tPremRes[reinsurance_id],prem_res!$Z$6:$Z$17,"&lt;&gt;"&amp;$C$8))</f>
        <v>1984598.55</v>
      </c>
      <c r="L19" s="10">
        <v>1964752.5645000003</v>
      </c>
      <c r="M19" s="10">
        <v>1155</v>
      </c>
      <c r="N19" s="10">
        <v>2999.7000000000003</v>
      </c>
      <c r="O19" s="10">
        <v>0</v>
      </c>
      <c r="P19" s="10">
        <v>893069.34750000003</v>
      </c>
      <c r="Q19" s="10">
        <v>0</v>
      </c>
      <c r="S19" t="str" cm="1">
        <f t="array" ref="S19:S51">_xlfn.UNIQUE(_xlfn._xlws.FILTER(_xlfn.ANCHORARRAY(B19),_xlfn.ANCHORARRAY(B19)&gt;"_zzz"))</f>
        <v>D_1a</v>
      </c>
      <c r="T19" t="str" cm="1">
        <f t="array" ref="T19:T51">_xlfn.TEXTSPLIT(_xlfn.ANCHORARRAY(S19),"_")</f>
        <v>D</v>
      </c>
      <c r="U19" t="str" cm="1">
        <f t="array" ref="U19:U51">SUBSTITUTE(_xlfn.ANCHORARRAY(S19),_xlfn.ANCHORARRAY(T19)&amp;"_","")</f>
        <v>1a</v>
      </c>
      <c r="W19" s="10" cm="1">
        <f t="array" ref="W19:W51">SUMIFS(tPremRes[gross_p],_xlfn.ANCHORARRAY($B19),_xlfn.ANCHORARRAY($S19),_xlfn.ANCHORARRAY($C19),$C$7)</f>
        <v>3608361</v>
      </c>
      <c r="X19" s="10" cm="1">
        <f t="array" ref="X19:X51">SUMIFS(tPremRes[gross_p_last],_xlfn.ANCHORARRAY($B19),_xlfn.ANCHORARRAY($S19),_xlfn.ANCHORARRAY($C19),$C$7)</f>
        <v>3572277.39</v>
      </c>
      <c r="Y19" s="10" cm="1">
        <f t="array" ref="Y19:Y51">SUMIFS(tPremRes[gross_p_last_24],_xlfn.ANCHORARRAY($B19),_xlfn.ANCHORARRAY($S19),_xlfn.ANCHORARRAY($C19),$C$7)</f>
        <v>2100</v>
      </c>
      <c r="Z19" s="10" cm="1">
        <f t="array" ref="Z19:Z51">SUMIFS(tPremRes[gross_fp_existing],_xlfn.ANCHORARRAY($B19),_xlfn.ANCHORARRAY($S19),_xlfn.ANCHORARRAY($C19),$C$7)</f>
        <v>5454</v>
      </c>
      <c r="AA19" s="10" cm="1">
        <f t="array" ref="AA19:AA51">SUMIFS(tPremRes[gross_fp_future],_xlfn.ANCHORARRAY($B19),_xlfn.ANCHORARRAY($S19),_xlfn.ANCHORARRAY($C19),$C$7)</f>
        <v>0</v>
      </c>
      <c r="AB19" s="10" cm="1">
        <f t="array" ref="AB19:AB51">SUMIFS(tPremRes[gross_claim],_xlfn.ANCHORARRAY($B19),_xlfn.ANCHORARRAY($S19),_xlfn.ANCHORARRAY($C19),$C$7)</f>
        <v>1623762.45</v>
      </c>
      <c r="AC19" s="10" cm="1">
        <f t="array" ref="AC19:AC51">SUMIFS(tPremRes[gross_other],_xlfn.ANCHORARRAY($B19),_xlfn.ANCHORARRAY($S19),_xlfn.ANCHORARRAY($C19),$C$7)</f>
        <v>0</v>
      </c>
      <c r="AD19" s="10" cm="1">
        <f t="array" ref="AD19:AD51">SUMIFS(tPremRes[net_p],_xlfn.ANCHORARRAY($B19),_xlfn.ANCHORARRAY($S19),_xlfn.ANCHORARRAY($C19),$C$7)</f>
        <v>1804180.5</v>
      </c>
      <c r="AE19" s="10" cm="1">
        <f t="array" ref="AE19:AE51">SUMIFS(tPremRes[net_p_last],_xlfn.ANCHORARRAY($B19),_xlfn.ANCHORARRAY($S19),_xlfn.ANCHORARRAY($C19),$C$7)</f>
        <v>1786138.6950000001</v>
      </c>
      <c r="AF19" s="10" cm="1">
        <f t="array" ref="AF19:AF51">SUMIFS(tPremRes[net_p_last_24],_xlfn.ANCHORARRAY($B19),_xlfn.ANCHORARRAY($S19),_xlfn.ANCHORARRAY($C19),$C$7)</f>
        <v>1050</v>
      </c>
      <c r="AG19" s="10" cm="1">
        <f t="array" ref="AG19:AG51">SUMIFS(tPremRes[net_fp_existing],_xlfn.ANCHORARRAY($B19),_xlfn.ANCHORARRAY($S19),_xlfn.ANCHORARRAY($C19),$C$7)</f>
        <v>0</v>
      </c>
      <c r="AH19" s="10" cm="1">
        <f t="array" ref="AH19:AH51">SUMIFS(tPremRes[net_fp_future],_xlfn.ANCHORARRAY($B19),_xlfn.ANCHORARRAY($S19),_xlfn.ANCHORARRAY($C19),$C$7)</f>
        <v>0</v>
      </c>
      <c r="AI19" s="10" cm="1">
        <f t="array" ref="AI19:AI51">SUMIFS(tPremRes[net_claim],_xlfn.ANCHORARRAY($B19),_xlfn.ANCHORARRAY($S19),_xlfn.ANCHORARRAY($C19),$C$7)</f>
        <v>811881.22499999998</v>
      </c>
      <c r="AJ19" s="10" cm="1">
        <f t="array" ref="AJ19:AJ51">SUMIFS(tPremRes[net_other],_xlfn.ANCHORARRAY($B19),_xlfn.ANCHORARRAY($S19),_xlfn.ANCHORARRAY($C19),$C$7)</f>
        <v>0</v>
      </c>
      <c r="AL19" s="10" cm="1">
        <f t="array" ref="AL19:AL51">SUMIFS(INDEX(_xlfn.ANCHORARRAY($D19),0,AL$15),_xlfn.ANCHORARRAY($B19),_xlfn.ANCHORARRAY($S19),_xlfn.ANCHORARRAY($C19),$C$7)</f>
        <v>1984598.55</v>
      </c>
      <c r="AM19" s="10" cm="1">
        <f t="array" ref="AM19:AM51">SUMIFS(INDEX(_xlfn.ANCHORARRAY($D19),0,AM$15),_xlfn.ANCHORARRAY($B19),_xlfn.ANCHORARRAY($S19),_xlfn.ANCHORARRAY($C19),$C$7)</f>
        <v>1964752.5645000003</v>
      </c>
      <c r="AN19" s="10" cm="1">
        <f t="array" ref="AN19:AN51">SUMIFS(INDEX(_xlfn.ANCHORARRAY($D19),0,AN$15),_xlfn.ANCHORARRAY($B19),_xlfn.ANCHORARRAY($S19),_xlfn.ANCHORARRAY($C19),$C$7)</f>
        <v>1155</v>
      </c>
      <c r="AO19" s="10" cm="1">
        <f t="array" ref="AO19:AO51">SUMIFS(INDEX(_xlfn.ANCHORARRAY($D19),0,AO$15),_xlfn.ANCHORARRAY($B19),_xlfn.ANCHORARRAY($S19),_xlfn.ANCHORARRAY($C19),$C$7)</f>
        <v>2999.7000000000003</v>
      </c>
      <c r="AP19" s="10" cm="1">
        <f t="array" ref="AP19:AP51">SUMIFS(INDEX(_xlfn.ANCHORARRAY($D19),0,AP$15),_xlfn.ANCHORARRAY($B19),_xlfn.ANCHORARRAY($S19),_xlfn.ANCHORARRAY($C19),$C$7)</f>
        <v>0</v>
      </c>
      <c r="AQ19" s="10" cm="1">
        <f t="array" ref="AQ19:AQ51">SUMIFS(INDEX(_xlfn.ANCHORARRAY($D19),0,AQ$15),_xlfn.ANCHORARRAY($B19),_xlfn.ANCHORARRAY($S19),_xlfn.ANCHORARRAY($C19),$C$7)</f>
        <v>893069.34750000003</v>
      </c>
      <c r="AR19" s="10" cm="1">
        <f t="array" ref="AR19:AR51">SUMIFS(INDEX(_xlfn.ANCHORARRAY($D19),0,AR$15),_xlfn.ANCHORARRAY($B19),_xlfn.ANCHORARRAY($S19),_xlfn.ANCHORARRAY($C19),$C$7)</f>
        <v>0</v>
      </c>
      <c r="AS19" s="10" cm="1">
        <f t="array" ref="AS19:AS51">SUMIFS(INDEX(_xlfn.ANCHORARRAY($K19),0,AL$15),_xlfn.ANCHORARRAY($B19),_xlfn.ANCHORARRAY($S19),_xlfn.ANCHORARRAY($C19),$C$7)</f>
        <v>1984598.55</v>
      </c>
      <c r="AT19" s="10" cm="1">
        <f t="array" ref="AT19:AT51">SUMIFS(INDEX(_xlfn.ANCHORARRAY($K19),0,AM$15),_xlfn.ANCHORARRAY($B19),_xlfn.ANCHORARRAY($S19),_xlfn.ANCHORARRAY($C19),$C$7)</f>
        <v>1964752.5645000003</v>
      </c>
      <c r="AU19" s="10" cm="1">
        <f t="array" ref="AU19:AU51">SUMIFS(INDEX(_xlfn.ANCHORARRAY($K19),0,AN$15),_xlfn.ANCHORARRAY($B19),_xlfn.ANCHORARRAY($S19),_xlfn.ANCHORARRAY($C19),$C$7)</f>
        <v>1155</v>
      </c>
      <c r="AV19" s="10" cm="1">
        <f t="array" ref="AV19:AV51">SUMIFS(INDEX(_xlfn.ANCHORARRAY($K19),0,AO$15),_xlfn.ANCHORARRAY($B19),_xlfn.ANCHORARRAY($S19),_xlfn.ANCHORARRAY($C19),$C$7)</f>
        <v>2999.7000000000003</v>
      </c>
      <c r="AW19" s="10" cm="1">
        <f t="array" ref="AW19:AW51">SUMIFS(INDEX(_xlfn.ANCHORARRAY($K19),0,AP$15),_xlfn.ANCHORARRAY($B19),_xlfn.ANCHORARRAY($S19),_xlfn.ANCHORARRAY($C19),$C$7)</f>
        <v>0</v>
      </c>
      <c r="AX19" s="10" cm="1">
        <f t="array" ref="AX19:AX51">SUMIFS(INDEX(_xlfn.ANCHORARRAY($K19),0,AQ$15),_xlfn.ANCHORARRAY($B19),_xlfn.ANCHORARRAY($S19),_xlfn.ANCHORARRAY($C19),$C$7)</f>
        <v>893069.34750000003</v>
      </c>
      <c r="AY19" s="10" cm="1">
        <f t="array" ref="AY19:AY51">SUMIFS(INDEX(_xlfn.ANCHORARRAY($K19),0,AR$15),_xlfn.ANCHORARRAY($B19),_xlfn.ANCHORARRAY($S19),_xlfn.ANCHORARRAY($C19),$C$7)</f>
        <v>0</v>
      </c>
      <c r="BA19" s="11" cm="1">
        <f t="array" ref="BA19:BA51">_xlfn.LET(_xlpm.prem,_xlfn.BYROW(_xlfn.HSTACK(_xlfn.ANCHORARRAY(W19),_xlfn.ANCHORARRAY( X19)), _xlfn.LAMBDA(_xlpm.row, MAX(_xlpm.row))) +_xlfn.ANCHORARRAY( Z19)+_xlfn.ANCHORARRAY(AA19),IF(_xlpm.prem&gt;0,_xlpm.prem,0))</f>
        <v>3613815</v>
      </c>
      <c r="BB19" s="11" cm="1">
        <f t="array" ref="BB19:BB51">IF(_xlfn.ANCHORARRAY(AB19)&lt;0,0,_xlfn.ANCHORARRAY(AB19))</f>
        <v>1623762.45</v>
      </c>
      <c r="BC19" s="11" cm="1">
        <f t="array" ref="BC19:BC51">_xlfn.LET(_xlpm.prem,_xlfn.BYROW(_xlfn.HSTACK(_xlfn.ANCHORARRAY(AD19),_xlfn.ANCHORARRAY(AE19)),_xlfn.LAMBDA(_xlpm.row,MAX(_xlpm.row)))+_xlfn.ANCHORARRAY(AG19)+_xlfn.ANCHORARRAY(AH19),
IF(_xlpm.prem&gt;0,_xlpm.prem,0))</f>
        <v>1804180.5</v>
      </c>
      <c r="BD19" s="11" cm="1">
        <f t="array" ref="BD19:BD51">IF(_xlfn.ANCHORARRAY(AI19)&lt;0,0,_xlfn.ANCHORARRAY(AI19))</f>
        <v>811881.22499999998</v>
      </c>
      <c r="BE19" s="11" cm="1">
        <f t="array" ref="BE19:BE51">_xlfn.LET(_xlpm.prem,_xlfn.BYROW(_xlfn.HSTACK(_xlfn.ANCHORARRAY(AL19),_xlfn.ANCHORARRAY( AM19)), _xlfn.LAMBDA(_xlpm.row, MAX(_xlpm.row))) +_xlfn.ANCHORARRAY(AO19)+_xlfn.ANCHORARRAY(AP19),IF(_xlpm.prem&gt;0,_xlpm.prem,0))</f>
        <v>1987598.25</v>
      </c>
      <c r="BF19" s="11" cm="1">
        <f t="array" ref="BF19:BF51">IF(_xlfn.ANCHORARRAY(AQ19)&lt;0,0,_xlfn.ANCHORARRAY(AQ19))</f>
        <v>893069.34750000003</v>
      </c>
      <c r="BG19" s="11" cm="1">
        <f t="array" ref="BG19:BG51">_xlfn.LET(_xlpm.prem,_xlfn.BYROW(_xlfn.HSTACK(_xlfn.ANCHORARRAY(AS19),_xlfn.ANCHORARRAY( AT19)), _xlfn.LAMBDA(_xlpm.row, MAX(_xlpm.row))) ++_xlfn.ANCHORARRAY(AV19)+_xlfn.ANCHORARRAY(AW19),
IF(_xlpm.prem&gt;0,_xlpm.prem,0))</f>
        <v>1987598.25</v>
      </c>
      <c r="BH19" s="11" cm="1">
        <f t="array" ref="BH19:BH51">IF(_xlfn.ANCHORARRAY(AX19)&lt;0,0,_xlfn.ANCHORARRAY(AX19))</f>
        <v>893069.34750000003</v>
      </c>
      <c r="BI19" s="11"/>
      <c r="BJ19" s="11" cm="1">
        <f t="array" ref="BJ19:BJ51">_xlfn.IFS($C$8="gross charge",_xlfn.ANCHORARRAY(BA19),$C$8="net charge",_xlfn.ANCHORARRAY(BC19),$C$8="calculated net charge",_xlfn.ANCHORARRAY(BE19),TRUE,_xlfn.ANCHORARRAY(BG19))</f>
        <v>1987598.25</v>
      </c>
      <c r="BK19" s="11" cm="1">
        <f t="array" ref="BK19:BK51">_xlfn.IFS($C$8="gross charge",_xlfn.ANCHORARRAY(BB19),$C$8="net charge",_xlfn.ANCHORARRAY(BD19),$C$8="calculated net charge",_xlfn.ANCHORARRAY(BF19),TRUE,_xlfn.ANCHORARRAY(BH19))</f>
        <v>893069.34750000003</v>
      </c>
      <c r="BM19" t="s">
        <v>21</v>
      </c>
      <c r="BN19" s="9">
        <v>6.3E-2</v>
      </c>
      <c r="BO19" s="9">
        <v>0.06</v>
      </c>
      <c r="BP19" s="9"/>
      <c r="BQ19" s="72" cm="1">
        <f t="array" ref="BQ19:BQ51">VLOOKUP(_xlfn.ANCHORARRAY('Calculated Correlation Matrix'!$A7),$BM$19:$BO$57,2,FALSE)</f>
        <v>6.3E-2</v>
      </c>
      <c r="BR19" s="72" cm="1">
        <f t="array" ref="BR19:BR51">VLOOKUP(_xlfn.ANCHORARRAY('Calculated Correlation Matrix'!$A7),$BM$19:$BO$57,3,FALSE)</f>
        <v>0.06</v>
      </c>
      <c r="BS19" s="10" cm="1">
        <f t="array" ref="BS19:BS51">SQRT((_xlfn.ANCHORARRAY(BQ19)*_xlfn.ANCHORARRAY(BJ19))^2+2*0.5*_xlfn.ANCHORARRAY(BQ19)*_xlfn.ANCHORARRAY(BJ19)*_xlfn.ANCHORARRAY(BR19)*_xlfn.ANCHORARRAY(BK19)+(_xlfn.ANCHORARRAY(BR19)*_xlfn.ANCHORARRAY(BK19))^2)</f>
        <v>158936.21667101452</v>
      </c>
      <c r="BT19" s="11" cm="1">
        <f t="array" ref="BT19:BT51">_xlfn.ANCHORARRAY(BJ19)+_xlfn.ANCHORARRAY(BK19)</f>
        <v>2880667.5975000001</v>
      </c>
      <c r="BU19" s="22" cm="1">
        <f t="array" ref="BU19:BU51">IFERROR(_xlfn.ANCHORARRAY(BS19)/_xlfn.ANCHORARRAY(BT19),0)</f>
        <v>5.5173396892077384E-2</v>
      </c>
      <c r="BV19" s="11" cm="1">
        <f t="array" ref="BV19:BV51">_xlfn.ANCHORARRAY(BJ19)+_xlfn.ANCHORARRAY(BK19)</f>
        <v>2880667.5975000001</v>
      </c>
      <c r="BW19" s="10" cm="1">
        <f t="array" ref="BW19:BW51">_xlfn.ANCHORARRAY(BV19)*_xlfn.ANCHORARRAY(BU19)</f>
        <v>158936.21667101452</v>
      </c>
      <c r="BY19" s="53" t="s">
        <v>198</v>
      </c>
      <c r="BZ19" s="55" cm="1">
        <f t="array" ref="BZ19">SQRT(MMULT(MMULT(TRANSPOSE(_xlfn.ANCHORARRAY(BW19)),_xlfn.ANCHORARRAY('Calculated Correlation Matrix'!$B$7)),_xlfn.ANCHORARRAY(BW19)))/SUM(_xlfn.ANCHORARRAY(BV19))</f>
        <v>6.4035408687779488E-2</v>
      </c>
    </row>
    <row r="20" spans="1:78">
      <c r="A20" t="str">
        <v>1b</v>
      </c>
      <c r="B20" t="str">
        <v>D_1b</v>
      </c>
      <c r="C20" t="str">
        <v>intermediated</v>
      </c>
      <c r="D20" s="10">
        <v>-3290419</v>
      </c>
      <c r="E20" s="10">
        <v>3027185.48</v>
      </c>
      <c r="F20" s="10">
        <v>2100</v>
      </c>
      <c r="G20" s="10">
        <v>0</v>
      </c>
      <c r="H20" s="10">
        <v>0</v>
      </c>
      <c r="I20" s="10">
        <v>921317.32000000007</v>
      </c>
      <c r="J20" s="10">
        <v>0</v>
      </c>
      <c r="K20" s="10">
        <v>-3290419</v>
      </c>
      <c r="L20" s="10">
        <v>3027185.48</v>
      </c>
      <c r="M20" s="10">
        <v>2100</v>
      </c>
      <c r="N20" s="10">
        <v>0</v>
      </c>
      <c r="O20" s="10">
        <v>0</v>
      </c>
      <c r="P20" s="10">
        <v>921317.32000000007</v>
      </c>
      <c r="Q20" s="10">
        <v>0</v>
      </c>
      <c r="S20" t="str">
        <v>D_1b</v>
      </c>
      <c r="T20" t="str">
        <v>D</v>
      </c>
      <c r="U20" t="str">
        <v>1b</v>
      </c>
      <c r="W20" s="10">
        <v>-3290419</v>
      </c>
      <c r="X20" s="10">
        <v>3027185.48</v>
      </c>
      <c r="Y20" s="10">
        <v>2100</v>
      </c>
      <c r="Z20" s="10">
        <v>0</v>
      </c>
      <c r="AA20" s="10">
        <v>0</v>
      </c>
      <c r="AB20" s="10">
        <v>921317.32000000007</v>
      </c>
      <c r="AC20" s="10">
        <v>0</v>
      </c>
      <c r="AD20" s="10">
        <v>-3290419</v>
      </c>
      <c r="AE20" s="10">
        <v>3027185.48</v>
      </c>
      <c r="AF20" s="10">
        <v>2100</v>
      </c>
      <c r="AG20" s="10">
        <v>0</v>
      </c>
      <c r="AH20" s="10">
        <v>0</v>
      </c>
      <c r="AI20" s="10">
        <v>921317.32000000007</v>
      </c>
      <c r="AJ20" s="10">
        <v>0</v>
      </c>
      <c r="AL20" s="10">
        <v>-3290419</v>
      </c>
      <c r="AM20" s="10">
        <v>3027185.48</v>
      </c>
      <c r="AN20" s="10">
        <v>2100</v>
      </c>
      <c r="AO20" s="10">
        <v>0</v>
      </c>
      <c r="AP20" s="10">
        <v>0</v>
      </c>
      <c r="AQ20" s="10">
        <v>921317.32000000007</v>
      </c>
      <c r="AR20" s="10">
        <v>0</v>
      </c>
      <c r="AS20" s="10">
        <v>-3290419</v>
      </c>
      <c r="AT20" s="10">
        <v>3027185.48</v>
      </c>
      <c r="AU20" s="10">
        <v>2100</v>
      </c>
      <c r="AV20" s="10">
        <v>0</v>
      </c>
      <c r="AW20" s="10">
        <v>0</v>
      </c>
      <c r="AX20" s="10">
        <v>921317.32000000007</v>
      </c>
      <c r="AY20" s="10">
        <v>0</v>
      </c>
      <c r="BA20" s="11">
        <v>3027185.48</v>
      </c>
      <c r="BB20" s="11">
        <v>921317.32000000007</v>
      </c>
      <c r="BC20" s="11">
        <v>3027185.48</v>
      </c>
      <c r="BD20" s="11">
        <v>921317.32000000007</v>
      </c>
      <c r="BE20" s="11">
        <v>3027185.48</v>
      </c>
      <c r="BF20" s="11">
        <v>921317.32000000007</v>
      </c>
      <c r="BG20" s="11">
        <v>3027185.48</v>
      </c>
      <c r="BH20" s="11">
        <v>921317.32000000007</v>
      </c>
      <c r="BI20" s="11"/>
      <c r="BJ20" s="11">
        <v>3027185.48</v>
      </c>
      <c r="BK20" s="11">
        <v>921317.32000000007</v>
      </c>
      <c r="BM20" t="s">
        <v>38</v>
      </c>
      <c r="BN20" s="9">
        <v>7.0000000000000007E-2</v>
      </c>
      <c r="BO20" s="9">
        <v>6.5000000000000002E-2</v>
      </c>
      <c r="BP20" s="9"/>
      <c r="BQ20" s="72">
        <v>7.0000000000000007E-2</v>
      </c>
      <c r="BR20" s="72">
        <v>6.5000000000000002E-2</v>
      </c>
      <c r="BS20" s="10">
        <v>247344.10326064503</v>
      </c>
      <c r="BT20" s="11">
        <v>3948502.8</v>
      </c>
      <c r="BU20" s="22">
        <v>6.2642504207074401E-2</v>
      </c>
      <c r="BV20" s="11">
        <v>3948502.8</v>
      </c>
      <c r="BW20" s="10">
        <v>247344.10326064503</v>
      </c>
      <c r="BY20" s="53" t="s">
        <v>199</v>
      </c>
      <c r="BZ20" s="56">
        <f>SUM(_xlfn.ANCHORARRAY(BV19))</f>
        <v>120834955.87839994</v>
      </c>
    </row>
    <row r="21" spans="1:78">
      <c r="A21" t="str">
        <v>2a</v>
      </c>
      <c r="B21" t="str">
        <v>P_2a</v>
      </c>
      <c r="C21" t="str">
        <v>specialised</v>
      </c>
      <c r="D21" s="10">
        <v>1739120.9000000001</v>
      </c>
      <c r="E21" s="10">
        <v>1930424.1990000003</v>
      </c>
      <c r="F21" s="10">
        <v>1100</v>
      </c>
      <c r="G21" s="10">
        <v>0</v>
      </c>
      <c r="H21" s="10">
        <v>46.750000000000007</v>
      </c>
      <c r="I21" s="10">
        <v>695648.3600000001</v>
      </c>
      <c r="J21" s="10">
        <v>0</v>
      </c>
      <c r="K21" s="10">
        <v>1739120.9000000001</v>
      </c>
      <c r="L21" s="10">
        <v>1930424.1990000003</v>
      </c>
      <c r="M21" s="10">
        <v>1100</v>
      </c>
      <c r="N21" s="10">
        <v>0</v>
      </c>
      <c r="O21" s="10">
        <v>46.750000000000007</v>
      </c>
      <c r="P21" s="10">
        <v>695648.3600000001</v>
      </c>
      <c r="Q21" s="10">
        <v>0</v>
      </c>
      <c r="S21" t="str">
        <v>P_2a</v>
      </c>
      <c r="T21" t="str">
        <v>P</v>
      </c>
      <c r="U21" t="str">
        <v>2a</v>
      </c>
      <c r="W21" s="10">
        <v>3162038</v>
      </c>
      <c r="X21" s="10">
        <v>3509862.18</v>
      </c>
      <c r="Y21" s="10">
        <v>2000</v>
      </c>
      <c r="Z21" s="10">
        <v>0</v>
      </c>
      <c r="AA21" s="10">
        <v>85</v>
      </c>
      <c r="AB21" s="10">
        <v>1264815.2000000002</v>
      </c>
      <c r="AC21" s="10">
        <v>0</v>
      </c>
      <c r="AD21" s="10">
        <v>1581019</v>
      </c>
      <c r="AE21" s="10">
        <v>1754931.09</v>
      </c>
      <c r="AF21" s="10">
        <v>1000</v>
      </c>
      <c r="AG21" s="10">
        <v>0</v>
      </c>
      <c r="AH21" s="10">
        <v>0</v>
      </c>
      <c r="AI21" s="10">
        <v>632407.60000000009</v>
      </c>
      <c r="AJ21" s="10">
        <v>0</v>
      </c>
      <c r="AL21" s="10">
        <v>1739120.9000000001</v>
      </c>
      <c r="AM21" s="10">
        <v>1930424.1990000003</v>
      </c>
      <c r="AN21" s="10">
        <v>1100</v>
      </c>
      <c r="AO21" s="10">
        <v>0</v>
      </c>
      <c r="AP21" s="10">
        <v>46.750000000000007</v>
      </c>
      <c r="AQ21" s="10">
        <v>695648.3600000001</v>
      </c>
      <c r="AR21" s="10">
        <v>0</v>
      </c>
      <c r="AS21" s="10">
        <v>1739120.9000000001</v>
      </c>
      <c r="AT21" s="10">
        <v>1930424.1990000003</v>
      </c>
      <c r="AU21" s="10">
        <v>1100</v>
      </c>
      <c r="AV21" s="10">
        <v>0</v>
      </c>
      <c r="AW21" s="10">
        <v>46.750000000000007</v>
      </c>
      <c r="AX21" s="10">
        <v>695648.3600000001</v>
      </c>
      <c r="AY21" s="10">
        <v>0</v>
      </c>
      <c r="BA21" s="11">
        <v>3509947.18</v>
      </c>
      <c r="BB21" s="11">
        <v>1264815.2000000002</v>
      </c>
      <c r="BC21" s="11">
        <v>1754931.09</v>
      </c>
      <c r="BD21" s="11">
        <v>632407.60000000009</v>
      </c>
      <c r="BE21" s="11">
        <v>1930470.9490000003</v>
      </c>
      <c r="BF21" s="11">
        <v>695648.3600000001</v>
      </c>
      <c r="BG21" s="11">
        <v>1930470.9490000003</v>
      </c>
      <c r="BH21" s="11">
        <v>695648.3600000001</v>
      </c>
      <c r="BI21" s="11"/>
      <c r="BJ21" s="11">
        <v>1930470.9490000003</v>
      </c>
      <c r="BK21" s="11">
        <v>695648.3600000001</v>
      </c>
      <c r="BM21" t="s">
        <v>39</v>
      </c>
      <c r="BN21" s="9">
        <v>5.8999999999999997E-2</v>
      </c>
      <c r="BO21" s="9">
        <v>0.11700000000000001</v>
      </c>
      <c r="BP21" s="9"/>
      <c r="BQ21" s="72">
        <v>5.8999999999999997E-2</v>
      </c>
      <c r="BR21" s="72">
        <v>0.11700000000000001</v>
      </c>
      <c r="BS21" s="10">
        <v>169904.13761570735</v>
      </c>
      <c r="BT21" s="11">
        <v>2626119.3090000004</v>
      </c>
      <c r="BU21" s="22">
        <v>6.4697798395307912E-2</v>
      </c>
      <c r="BV21" s="11">
        <v>2626119.3090000004</v>
      </c>
      <c r="BW21" s="10">
        <v>169904.13761570735</v>
      </c>
      <c r="BY21" s="53" t="s">
        <v>200</v>
      </c>
      <c r="BZ21" s="56">
        <f>3*BZ19*BZ20</f>
        <v>23213147.350329429</v>
      </c>
    </row>
    <row r="22" spans="1:78">
      <c r="A22" t="str">
        <v>2b</v>
      </c>
      <c r="B22" t="str">
        <v>D_2b</v>
      </c>
      <c r="C22" t="str">
        <v>direct</v>
      </c>
      <c r="D22" s="10">
        <v>3579255.5</v>
      </c>
      <c r="E22" s="10">
        <v>3436085.28</v>
      </c>
      <c r="F22" s="10">
        <v>2494</v>
      </c>
      <c r="G22" s="10">
        <v>0</v>
      </c>
      <c r="H22" s="10">
        <v>0</v>
      </c>
      <c r="I22" s="10">
        <v>1395909.645</v>
      </c>
      <c r="J22" s="10">
        <v>0</v>
      </c>
      <c r="K22" s="10">
        <v>3579255.5</v>
      </c>
      <c r="L22" s="10">
        <v>3436085.28</v>
      </c>
      <c r="M22" s="10">
        <v>2494</v>
      </c>
      <c r="N22" s="10">
        <v>0</v>
      </c>
      <c r="O22" s="10">
        <v>0</v>
      </c>
      <c r="P22" s="10">
        <v>1395909.645</v>
      </c>
      <c r="Q22" s="10">
        <v>0</v>
      </c>
      <c r="S22" t="str">
        <v>D_2b</v>
      </c>
      <c r="T22" t="str">
        <v>D</v>
      </c>
      <c r="U22" t="str">
        <v>2b</v>
      </c>
      <c r="W22" s="10">
        <v>4161925</v>
      </c>
      <c r="X22" s="10">
        <v>3995448</v>
      </c>
      <c r="Y22" s="10">
        <v>2900</v>
      </c>
      <c r="Z22" s="10">
        <v>0</v>
      </c>
      <c r="AA22" s="10">
        <v>0</v>
      </c>
      <c r="AB22" s="10">
        <v>1623150.75</v>
      </c>
      <c r="AC22" s="10">
        <v>0</v>
      </c>
      <c r="AD22" s="10">
        <v>3537636.25</v>
      </c>
      <c r="AE22" s="10">
        <v>3396130.8</v>
      </c>
      <c r="AF22" s="10">
        <v>2465</v>
      </c>
      <c r="AG22" s="10">
        <v>0</v>
      </c>
      <c r="AH22" s="10">
        <v>0</v>
      </c>
      <c r="AI22" s="10">
        <v>1379678.1375</v>
      </c>
      <c r="AJ22" s="10">
        <v>0</v>
      </c>
      <c r="AL22" s="10">
        <v>3579255.5</v>
      </c>
      <c r="AM22" s="10">
        <v>3436085.28</v>
      </c>
      <c r="AN22" s="10">
        <v>2494</v>
      </c>
      <c r="AO22" s="10">
        <v>0</v>
      </c>
      <c r="AP22" s="10">
        <v>0</v>
      </c>
      <c r="AQ22" s="10">
        <v>1395909.645</v>
      </c>
      <c r="AR22" s="10">
        <v>0</v>
      </c>
      <c r="AS22" s="10">
        <v>3579255.5</v>
      </c>
      <c r="AT22" s="10">
        <v>3436085.28</v>
      </c>
      <c r="AU22" s="10">
        <v>2494</v>
      </c>
      <c r="AV22" s="10">
        <v>0</v>
      </c>
      <c r="AW22" s="10">
        <v>0</v>
      </c>
      <c r="AX22" s="10">
        <v>1395909.645</v>
      </c>
      <c r="AY22" s="10">
        <v>0</v>
      </c>
      <c r="BA22" s="11">
        <v>4161925</v>
      </c>
      <c r="BB22" s="11">
        <v>1623150.75</v>
      </c>
      <c r="BC22" s="11">
        <v>3537636.25</v>
      </c>
      <c r="BD22" s="11">
        <v>1379678.1375</v>
      </c>
      <c r="BE22" s="11">
        <v>3579255.5</v>
      </c>
      <c r="BF22" s="11">
        <v>1395909.645</v>
      </c>
      <c r="BG22" s="11">
        <v>3579255.5</v>
      </c>
      <c r="BH22" s="11">
        <v>1395909.645</v>
      </c>
      <c r="BI22" s="11"/>
      <c r="BJ22" s="11">
        <v>3579255.5</v>
      </c>
      <c r="BK22" s="11">
        <v>1395909.645</v>
      </c>
      <c r="BM22" t="s">
        <v>40</v>
      </c>
      <c r="BN22" s="9">
        <v>0.13800000000000001</v>
      </c>
      <c r="BO22" s="9">
        <v>0.14499999999999999</v>
      </c>
      <c r="BP22" s="9"/>
      <c r="BQ22" s="72">
        <v>0.13800000000000001</v>
      </c>
      <c r="BR22" s="72">
        <v>0.14499999999999999</v>
      </c>
      <c r="BS22" s="10">
        <v>620418.308126922</v>
      </c>
      <c r="BT22" s="11">
        <v>4975165.1449999996</v>
      </c>
      <c r="BU22" s="22">
        <v>0.12470305809857132</v>
      </c>
      <c r="BV22" s="11">
        <v>4975165.1449999996</v>
      </c>
      <c r="BW22" s="10">
        <v>620418.308126922</v>
      </c>
      <c r="BZ22" s="10"/>
    </row>
    <row r="23" spans="1:78">
      <c r="A23" t="str">
        <v>1a</v>
      </c>
      <c r="B23" t="str">
        <v>P_1a</v>
      </c>
      <c r="C23" t="str">
        <v>specialised</v>
      </c>
      <c r="D23" s="10">
        <v>4503698</v>
      </c>
      <c r="E23" s="10">
        <v>4503698</v>
      </c>
      <c r="F23" s="10">
        <v>2900</v>
      </c>
      <c r="G23" s="10">
        <v>0</v>
      </c>
      <c r="H23" s="10">
        <v>0</v>
      </c>
      <c r="I23" s="10">
        <v>2026664.1</v>
      </c>
      <c r="J23" s="10">
        <v>0</v>
      </c>
      <c r="K23" s="10">
        <v>4503698</v>
      </c>
      <c r="L23" s="10">
        <v>4503698</v>
      </c>
      <c r="M23" s="10">
        <v>2900</v>
      </c>
      <c r="N23" s="10">
        <v>0</v>
      </c>
      <c r="O23" s="10">
        <v>0</v>
      </c>
      <c r="P23" s="10">
        <v>2026664.1</v>
      </c>
      <c r="Q23" s="10">
        <v>0</v>
      </c>
      <c r="S23" t="str">
        <v>P_1a</v>
      </c>
      <c r="T23" t="str">
        <v>P</v>
      </c>
      <c r="U23" t="str">
        <v>1a</v>
      </c>
      <c r="W23" s="10">
        <v>4503698</v>
      </c>
      <c r="X23" s="10">
        <v>4503698</v>
      </c>
      <c r="Y23" s="10">
        <v>2900</v>
      </c>
      <c r="Z23" s="10">
        <v>0</v>
      </c>
      <c r="AA23" s="10">
        <v>0</v>
      </c>
      <c r="AB23" s="10">
        <v>2026664.1</v>
      </c>
      <c r="AC23" s="10">
        <v>0</v>
      </c>
      <c r="AD23" s="10">
        <v>4503698</v>
      </c>
      <c r="AE23" s="10">
        <v>4503698</v>
      </c>
      <c r="AF23" s="10">
        <v>2900</v>
      </c>
      <c r="AG23" s="10">
        <v>0</v>
      </c>
      <c r="AH23" s="10">
        <v>0</v>
      </c>
      <c r="AI23" s="10">
        <v>2026664.1</v>
      </c>
      <c r="AJ23" s="10">
        <v>0</v>
      </c>
      <c r="AL23" s="10">
        <v>4503698</v>
      </c>
      <c r="AM23" s="10">
        <v>4503698</v>
      </c>
      <c r="AN23" s="10">
        <v>2900</v>
      </c>
      <c r="AO23" s="10">
        <v>0</v>
      </c>
      <c r="AP23" s="10">
        <v>0</v>
      </c>
      <c r="AQ23" s="10">
        <v>2026664.1</v>
      </c>
      <c r="AR23" s="10">
        <v>0</v>
      </c>
      <c r="AS23" s="10">
        <v>4503698</v>
      </c>
      <c r="AT23" s="10">
        <v>4503698</v>
      </c>
      <c r="AU23" s="10">
        <v>2900</v>
      </c>
      <c r="AV23" s="10">
        <v>0</v>
      </c>
      <c r="AW23" s="10">
        <v>0</v>
      </c>
      <c r="AX23" s="10">
        <v>2026664.1</v>
      </c>
      <c r="AY23" s="10">
        <v>0</v>
      </c>
      <c r="BA23" s="11">
        <v>4503698</v>
      </c>
      <c r="BB23" s="11">
        <v>2026664.1</v>
      </c>
      <c r="BC23" s="11">
        <v>4503698</v>
      </c>
      <c r="BD23" s="11">
        <v>2026664.1</v>
      </c>
      <c r="BE23" s="11">
        <v>4503698</v>
      </c>
      <c r="BF23" s="11">
        <v>2026664.1</v>
      </c>
      <c r="BG23" s="11">
        <v>4503698</v>
      </c>
      <c r="BH23" s="11">
        <v>2026664.1</v>
      </c>
      <c r="BI23" s="11"/>
      <c r="BJ23" s="11">
        <v>4503698</v>
      </c>
      <c r="BK23" s="11">
        <v>2026664.1</v>
      </c>
      <c r="BM23" t="s">
        <v>41</v>
      </c>
      <c r="BN23" s="9">
        <v>0.4</v>
      </c>
      <c r="BO23" s="9">
        <v>0.2</v>
      </c>
      <c r="BP23" s="9"/>
      <c r="BQ23" s="72">
        <v>6.3E-2</v>
      </c>
      <c r="BR23" s="72">
        <v>0.06</v>
      </c>
      <c r="BS23" s="10">
        <v>360267.69078787847</v>
      </c>
      <c r="BT23" s="11">
        <v>6530362.0999999996</v>
      </c>
      <c r="BU23" s="22">
        <v>5.5168103279889871E-2</v>
      </c>
      <c r="BV23" s="11">
        <v>6530362.0999999996</v>
      </c>
      <c r="BW23" s="10">
        <v>360267.69078787847</v>
      </c>
      <c r="BY23" s="53" t="s">
        <v>201</v>
      </c>
      <c r="BZ23" s="56" cm="1">
        <f t="array" ref="BZ23">3*SQRT(MMULT(MMULT(TRANSPOSE(_xlfn.ANCHORARRAY(BJ19)*_xlfn.ANCHORARRAY(BQ19)),_xlfn.ANCHORARRAY('Calculated Correlation Matrix'!$B$7)),_xlfn.ANCHORARRAY(BJ19)*_xlfn.ANCHORARRAY(BQ19)))</f>
        <v>18775007.631600838</v>
      </c>
    </row>
    <row r="24" spans="1:78">
      <c r="A24" t="str">
        <v>3ii</v>
      </c>
      <c r="B24" t="str">
        <v>D_3ii</v>
      </c>
      <c r="C24" t="str">
        <v>partnerships</v>
      </c>
      <c r="D24" s="10">
        <v>2264437</v>
      </c>
      <c r="E24" s="10">
        <v>1947415.82</v>
      </c>
      <c r="F24" s="10">
        <v>3500</v>
      </c>
      <c r="G24" s="10">
        <v>454</v>
      </c>
      <c r="H24" s="10">
        <v>0</v>
      </c>
      <c r="I24" s="10">
        <v>747264.21000000008</v>
      </c>
      <c r="J24" s="10">
        <v>0</v>
      </c>
      <c r="K24" s="10">
        <v>2264437</v>
      </c>
      <c r="L24" s="10">
        <v>1947415.82</v>
      </c>
      <c r="M24" s="10">
        <v>3500</v>
      </c>
      <c r="N24" s="10">
        <v>454</v>
      </c>
      <c r="O24" s="10">
        <v>0</v>
      </c>
      <c r="P24" s="10">
        <v>747264.21000000008</v>
      </c>
      <c r="Q24" s="10">
        <v>0</v>
      </c>
      <c r="S24" t="str">
        <v>D_3ii</v>
      </c>
      <c r="T24" t="str">
        <v>D</v>
      </c>
      <c r="U24" t="str">
        <v>3ii</v>
      </c>
      <c r="W24" s="10">
        <v>2264437</v>
      </c>
      <c r="X24" s="10">
        <v>1947415.82</v>
      </c>
      <c r="Y24" s="10">
        <v>3500</v>
      </c>
      <c r="Z24" s="10">
        <v>454</v>
      </c>
      <c r="AA24" s="10">
        <v>0</v>
      </c>
      <c r="AB24" s="10">
        <v>747264.21000000008</v>
      </c>
      <c r="AC24" s="10">
        <v>0</v>
      </c>
      <c r="AD24" s="10">
        <v>2264437</v>
      </c>
      <c r="AE24" s="10">
        <v>1947415.82</v>
      </c>
      <c r="AF24" s="10">
        <v>3500</v>
      </c>
      <c r="AG24" s="10">
        <v>0</v>
      </c>
      <c r="AH24" s="10">
        <v>0</v>
      </c>
      <c r="AI24" s="10">
        <v>747264.21000000008</v>
      </c>
      <c r="AJ24" s="10">
        <v>0</v>
      </c>
      <c r="AL24" s="10">
        <v>2264437</v>
      </c>
      <c r="AM24" s="10">
        <v>1947415.82</v>
      </c>
      <c r="AN24" s="10">
        <v>3500</v>
      </c>
      <c r="AO24" s="10">
        <v>454</v>
      </c>
      <c r="AP24" s="10">
        <v>0</v>
      </c>
      <c r="AQ24" s="10">
        <v>747264.21000000008</v>
      </c>
      <c r="AR24" s="10">
        <v>0</v>
      </c>
      <c r="AS24" s="10">
        <v>2264437</v>
      </c>
      <c r="AT24" s="10">
        <v>1947415.82</v>
      </c>
      <c r="AU24" s="10">
        <v>3500</v>
      </c>
      <c r="AV24" s="10">
        <v>454</v>
      </c>
      <c r="AW24" s="10">
        <v>0</v>
      </c>
      <c r="AX24" s="10">
        <v>747264.21000000008</v>
      </c>
      <c r="AY24" s="10">
        <v>0</v>
      </c>
      <c r="BA24" s="11">
        <v>2264891</v>
      </c>
      <c r="BB24" s="11">
        <v>747264.21000000008</v>
      </c>
      <c r="BC24" s="11">
        <v>2264437</v>
      </c>
      <c r="BD24" s="11">
        <v>747264.21000000008</v>
      </c>
      <c r="BE24" s="11">
        <v>2264891</v>
      </c>
      <c r="BF24" s="11">
        <v>747264.21000000008</v>
      </c>
      <c r="BG24" s="11">
        <v>2264891</v>
      </c>
      <c r="BH24" s="11">
        <v>747264.21000000008</v>
      </c>
      <c r="BI24" s="11"/>
      <c r="BJ24" s="11">
        <v>2264891</v>
      </c>
      <c r="BK24" s="11">
        <v>747264.21000000008</v>
      </c>
      <c r="BM24" t="s">
        <v>42</v>
      </c>
      <c r="BN24" s="9">
        <v>0.1</v>
      </c>
      <c r="BO24" s="9">
        <v>0.09</v>
      </c>
      <c r="BP24" s="9"/>
      <c r="BQ24" s="72">
        <v>0.1</v>
      </c>
      <c r="BR24" s="72">
        <v>0.09</v>
      </c>
      <c r="BS24" s="10">
        <v>266556.99399903219</v>
      </c>
      <c r="BT24" s="11">
        <v>3012155.21</v>
      </c>
      <c r="BU24" s="22">
        <v>8.8493777848529992E-2</v>
      </c>
      <c r="BV24" s="11">
        <v>3012155.21</v>
      </c>
      <c r="BW24" s="10">
        <v>266556.99399903219</v>
      </c>
      <c r="BY24" s="53" t="s">
        <v>202</v>
      </c>
      <c r="BZ24" s="56" cm="1">
        <f t="array" ref="BZ24">3*SQRT(MMULT(MMULT(TRANSPOSE(_xlfn.ANCHORARRAY(BK19)*_xlfn.ANCHORARRAY(BR19)),_xlfn.ANCHORARRAY('Calculated Correlation Matrix'!$B$7)),_xlfn.ANCHORARRAY(BK19)*_xlfn.ANCHORARRAY(BR19)))</f>
        <v>7054112.7114529191</v>
      </c>
    </row>
    <row r="25" spans="1:78">
      <c r="A25" t="str">
        <v>3iii</v>
      </c>
      <c r="B25" t="str">
        <v>D_3iii</v>
      </c>
      <c r="C25" t="str">
        <v>specialised</v>
      </c>
      <c r="D25" s="10">
        <v>2120230.75</v>
      </c>
      <c r="E25" s="10">
        <v>2141433.0575000001</v>
      </c>
      <c r="F25" s="10">
        <v>1155</v>
      </c>
      <c r="G25" s="10">
        <v>0</v>
      </c>
      <c r="H25" s="10">
        <v>0</v>
      </c>
      <c r="I25" s="10">
        <v>869294.60750000004</v>
      </c>
      <c r="J25" s="10">
        <v>0</v>
      </c>
      <c r="K25" s="10">
        <v>2120230.75</v>
      </c>
      <c r="L25" s="10">
        <v>2141433.0575000001</v>
      </c>
      <c r="M25" s="10">
        <v>1155</v>
      </c>
      <c r="N25" s="10">
        <v>0</v>
      </c>
      <c r="O25" s="10">
        <v>0</v>
      </c>
      <c r="P25" s="10">
        <v>869294.60750000004</v>
      </c>
      <c r="Q25" s="10">
        <v>0</v>
      </c>
      <c r="S25" t="str">
        <v>D_3iii</v>
      </c>
      <c r="T25" t="str">
        <v>D</v>
      </c>
      <c r="U25" t="str">
        <v>3iii</v>
      </c>
      <c r="W25" s="10">
        <v>3854965</v>
      </c>
      <c r="X25" s="10">
        <v>3893514.65</v>
      </c>
      <c r="Y25" s="10">
        <v>2100</v>
      </c>
      <c r="Z25" s="10">
        <v>0</v>
      </c>
      <c r="AA25" s="10">
        <v>0</v>
      </c>
      <c r="AB25" s="10">
        <v>1580535.65</v>
      </c>
      <c r="AC25" s="10">
        <v>0</v>
      </c>
      <c r="AD25" s="10">
        <v>1927482.5</v>
      </c>
      <c r="AE25" s="10">
        <v>1946757.325</v>
      </c>
      <c r="AF25" s="10">
        <v>1050</v>
      </c>
      <c r="AG25" s="10">
        <v>0</v>
      </c>
      <c r="AH25" s="10">
        <v>0</v>
      </c>
      <c r="AI25" s="10">
        <v>790267.82499999995</v>
      </c>
      <c r="AJ25" s="10">
        <v>0</v>
      </c>
      <c r="AL25" s="10">
        <v>2120230.75</v>
      </c>
      <c r="AM25" s="10">
        <v>2141433.0575000001</v>
      </c>
      <c r="AN25" s="10">
        <v>1155</v>
      </c>
      <c r="AO25" s="10">
        <v>0</v>
      </c>
      <c r="AP25" s="10">
        <v>0</v>
      </c>
      <c r="AQ25" s="10">
        <v>869294.60750000004</v>
      </c>
      <c r="AR25" s="10">
        <v>0</v>
      </c>
      <c r="AS25" s="10">
        <v>2120230.75</v>
      </c>
      <c r="AT25" s="10">
        <v>2141433.0575000001</v>
      </c>
      <c r="AU25" s="10">
        <v>1155</v>
      </c>
      <c r="AV25" s="10">
        <v>0</v>
      </c>
      <c r="AW25" s="10">
        <v>0</v>
      </c>
      <c r="AX25" s="10">
        <v>869294.60750000004</v>
      </c>
      <c r="AY25" s="10">
        <v>0</v>
      </c>
      <c r="BA25" s="11">
        <v>3893514.65</v>
      </c>
      <c r="BB25" s="11">
        <v>1580535.65</v>
      </c>
      <c r="BC25" s="11">
        <v>1946757.325</v>
      </c>
      <c r="BD25" s="11">
        <v>790267.82499999995</v>
      </c>
      <c r="BE25" s="11">
        <v>2141433.0575000001</v>
      </c>
      <c r="BF25" s="11">
        <v>869294.60750000004</v>
      </c>
      <c r="BG25" s="11">
        <v>2141433.0575000001</v>
      </c>
      <c r="BH25" s="11">
        <v>869294.60750000004</v>
      </c>
      <c r="BI25" s="11"/>
      <c r="BJ25" s="11">
        <v>2141433.0575000001</v>
      </c>
      <c r="BK25" s="11">
        <v>869294.60750000004</v>
      </c>
      <c r="BM25" t="s">
        <v>43</v>
      </c>
      <c r="BN25" s="9">
        <v>9.0999999999999998E-2</v>
      </c>
      <c r="BO25" s="9">
        <v>0.23200000000000001</v>
      </c>
      <c r="BP25" s="9"/>
      <c r="BQ25" s="72">
        <v>9.0999999999999998E-2</v>
      </c>
      <c r="BR25" s="72">
        <v>0.23200000000000001</v>
      </c>
      <c r="BS25" s="10">
        <v>343436.42523070815</v>
      </c>
      <c r="BT25" s="11">
        <v>3010727.665</v>
      </c>
      <c r="BU25" s="22">
        <v>0.11407090359689114</v>
      </c>
      <c r="BV25" s="11">
        <v>3010727.665</v>
      </c>
      <c r="BW25" s="10">
        <v>343436.42523070815</v>
      </c>
      <c r="BY25" s="53" t="s">
        <v>203</v>
      </c>
      <c r="BZ25" s="56" cm="1">
        <f t="array" ref="BZ25">3*SQRT(MMULT(MMULT(TRANSPOSE(_xlfn.ANCHORARRAY(BS19)),_xlfn.ANCHORARRAY('Calculated Correlation Matrix'!$B$7)),_xlfn.ANCHORARRAY(BS19)))</f>
        <v>23213147.350329429</v>
      </c>
    </row>
    <row r="26" spans="1:78">
      <c r="A26" t="str">
        <v>4i</v>
      </c>
      <c r="B26" t="str">
        <v>P_4i</v>
      </c>
      <c r="C26" t="str">
        <v>direct</v>
      </c>
      <c r="D26" s="10">
        <v>4966421</v>
      </c>
      <c r="E26" s="10">
        <v>5065749.42</v>
      </c>
      <c r="F26" s="10">
        <v>2000</v>
      </c>
      <c r="G26" s="10">
        <v>0</v>
      </c>
      <c r="H26" s="10">
        <v>0</v>
      </c>
      <c r="I26" s="10">
        <v>1440262.0899999999</v>
      </c>
      <c r="J26" s="10">
        <v>0</v>
      </c>
      <c r="K26" s="10">
        <v>4966421</v>
      </c>
      <c r="L26" s="10">
        <v>5065749.42</v>
      </c>
      <c r="M26" s="10">
        <v>2000</v>
      </c>
      <c r="N26" s="10">
        <v>0</v>
      </c>
      <c r="O26" s="10">
        <v>0</v>
      </c>
      <c r="P26" s="10">
        <v>1440262.0899999999</v>
      </c>
      <c r="Q26" s="10">
        <v>0</v>
      </c>
      <c r="S26" t="str">
        <v>P_4i</v>
      </c>
      <c r="T26" t="str">
        <v>P</v>
      </c>
      <c r="U26" t="str">
        <v>4i</v>
      </c>
      <c r="W26" s="10">
        <v>4966421</v>
      </c>
      <c r="X26" s="10">
        <v>5065749.42</v>
      </c>
      <c r="Y26" s="10">
        <v>2000</v>
      </c>
      <c r="Z26" s="10">
        <v>0</v>
      </c>
      <c r="AA26" s="10">
        <v>0</v>
      </c>
      <c r="AB26" s="10">
        <v>1440262.0899999999</v>
      </c>
      <c r="AC26" s="10">
        <v>0</v>
      </c>
      <c r="AD26" s="10">
        <v>4966421</v>
      </c>
      <c r="AE26" s="10">
        <v>5065749.42</v>
      </c>
      <c r="AF26" s="10">
        <v>2000</v>
      </c>
      <c r="AG26" s="10">
        <v>0</v>
      </c>
      <c r="AH26" s="10">
        <v>0</v>
      </c>
      <c r="AI26" s="10">
        <v>1440262.0899999999</v>
      </c>
      <c r="AJ26" s="10">
        <v>0</v>
      </c>
      <c r="AL26" s="10">
        <v>4966421</v>
      </c>
      <c r="AM26" s="10">
        <v>5065749.42</v>
      </c>
      <c r="AN26" s="10">
        <v>2000</v>
      </c>
      <c r="AO26" s="10">
        <v>0</v>
      </c>
      <c r="AP26" s="10">
        <v>0</v>
      </c>
      <c r="AQ26" s="10">
        <v>1440262.0899999999</v>
      </c>
      <c r="AR26" s="10">
        <v>0</v>
      </c>
      <c r="AS26" s="10">
        <v>4966421</v>
      </c>
      <c r="AT26" s="10">
        <v>5065749.42</v>
      </c>
      <c r="AU26" s="10">
        <v>2000</v>
      </c>
      <c r="AV26" s="10">
        <v>0</v>
      </c>
      <c r="AW26" s="10">
        <v>0</v>
      </c>
      <c r="AX26" s="10">
        <v>1440262.0899999999</v>
      </c>
      <c r="AY26" s="10">
        <v>0</v>
      </c>
      <c r="BA26" s="11">
        <v>5065749.42</v>
      </c>
      <c r="BB26" s="11">
        <v>1440262.0899999999</v>
      </c>
      <c r="BC26" s="11">
        <v>5065749.42</v>
      </c>
      <c r="BD26" s="11">
        <v>1440262.0899999999</v>
      </c>
      <c r="BE26" s="11">
        <v>5065749.42</v>
      </c>
      <c r="BF26" s="11">
        <v>1440262.0899999999</v>
      </c>
      <c r="BG26" s="11">
        <v>5065749.42</v>
      </c>
      <c r="BH26" s="11">
        <v>1440262.0899999999</v>
      </c>
      <c r="BI26" s="11"/>
      <c r="BJ26" s="11">
        <v>5065749.42</v>
      </c>
      <c r="BK26" s="11">
        <v>1440262.0899999999</v>
      </c>
      <c r="BM26" t="s">
        <v>44</v>
      </c>
      <c r="BN26" s="9">
        <v>0.109</v>
      </c>
      <c r="BO26" s="9">
        <v>0.13500000000000001</v>
      </c>
      <c r="BP26" s="9"/>
      <c r="BQ26" s="72">
        <v>0.109</v>
      </c>
      <c r="BR26" s="72">
        <v>0.13500000000000001</v>
      </c>
      <c r="BS26" s="10">
        <v>670860.57312677708</v>
      </c>
      <c r="BT26" s="11">
        <v>6506011.5099999998</v>
      </c>
      <c r="BU26" s="22">
        <v>0.10311395423995755</v>
      </c>
      <c r="BV26" s="11">
        <v>6506011.5099999998</v>
      </c>
      <c r="BW26" s="10">
        <v>670860.57312677708</v>
      </c>
    </row>
    <row r="27" spans="1:78">
      <c r="A27" t="str">
        <v>4ii</v>
      </c>
      <c r="B27" t="str">
        <v>D_4ii</v>
      </c>
      <c r="C27" t="str">
        <v>specialised</v>
      </c>
      <c r="D27" s="10">
        <v>1419290</v>
      </c>
      <c r="E27" s="10">
        <v>1263168.1000000001</v>
      </c>
      <c r="F27" s="10">
        <v>2900</v>
      </c>
      <c r="G27" s="10">
        <v>545</v>
      </c>
      <c r="H27" s="10">
        <v>0</v>
      </c>
      <c r="I27" s="10">
        <v>383208.30000000005</v>
      </c>
      <c r="J27" s="10">
        <v>0</v>
      </c>
      <c r="K27" s="10">
        <v>1419290</v>
      </c>
      <c r="L27" s="10">
        <v>1263168.1000000001</v>
      </c>
      <c r="M27" s="10">
        <v>2900</v>
      </c>
      <c r="N27" s="10">
        <v>545</v>
      </c>
      <c r="O27" s="10">
        <v>0</v>
      </c>
      <c r="P27" s="10">
        <v>383208.30000000005</v>
      </c>
      <c r="Q27" s="10">
        <v>0</v>
      </c>
      <c r="S27" t="str">
        <v>D_4ii</v>
      </c>
      <c r="T27" t="str">
        <v>D</v>
      </c>
      <c r="U27" t="str">
        <v>4ii</v>
      </c>
      <c r="W27" s="10">
        <v>1419290</v>
      </c>
      <c r="X27" s="10">
        <v>1263168.1000000001</v>
      </c>
      <c r="Y27" s="10">
        <v>2900</v>
      </c>
      <c r="Z27" s="10">
        <v>545</v>
      </c>
      <c r="AA27" s="10">
        <v>0</v>
      </c>
      <c r="AB27" s="10">
        <v>383208.30000000005</v>
      </c>
      <c r="AC27" s="10">
        <v>0</v>
      </c>
      <c r="AD27" s="10">
        <v>1419290</v>
      </c>
      <c r="AE27" s="10">
        <v>1263168.1000000001</v>
      </c>
      <c r="AF27" s="10">
        <v>2900</v>
      </c>
      <c r="AG27" s="10">
        <v>0</v>
      </c>
      <c r="AH27" s="10">
        <v>0</v>
      </c>
      <c r="AI27" s="10">
        <v>383208.30000000005</v>
      </c>
      <c r="AJ27" s="10">
        <v>0</v>
      </c>
      <c r="AL27" s="10">
        <v>1419290</v>
      </c>
      <c r="AM27" s="10">
        <v>1263168.1000000001</v>
      </c>
      <c r="AN27" s="10">
        <v>2900</v>
      </c>
      <c r="AO27" s="10">
        <v>545</v>
      </c>
      <c r="AP27" s="10">
        <v>0</v>
      </c>
      <c r="AQ27" s="10">
        <v>383208.30000000005</v>
      </c>
      <c r="AR27" s="10">
        <v>0</v>
      </c>
      <c r="AS27" s="10">
        <v>1419290</v>
      </c>
      <c r="AT27" s="10">
        <v>1263168.1000000001</v>
      </c>
      <c r="AU27" s="10">
        <v>2900</v>
      </c>
      <c r="AV27" s="10">
        <v>545</v>
      </c>
      <c r="AW27" s="10">
        <v>0</v>
      </c>
      <c r="AX27" s="10">
        <v>383208.30000000005</v>
      </c>
      <c r="AY27" s="10">
        <v>0</v>
      </c>
      <c r="BA27" s="11">
        <v>1419835</v>
      </c>
      <c r="BB27" s="11">
        <v>383208.30000000005</v>
      </c>
      <c r="BC27" s="11">
        <v>1419290</v>
      </c>
      <c r="BD27" s="11">
        <v>383208.30000000005</v>
      </c>
      <c r="BE27" s="11">
        <v>1419835</v>
      </c>
      <c r="BF27" s="11">
        <v>383208.30000000005</v>
      </c>
      <c r="BG27" s="11">
        <v>1419835</v>
      </c>
      <c r="BH27" s="11">
        <v>383208.30000000005</v>
      </c>
      <c r="BI27" s="11"/>
      <c r="BJ27" s="11">
        <v>1419835</v>
      </c>
      <c r="BK27" s="11">
        <v>383208.30000000005</v>
      </c>
      <c r="BM27" t="s">
        <v>45</v>
      </c>
      <c r="BN27" s="9">
        <v>0.109</v>
      </c>
      <c r="BO27" s="9">
        <v>0.13500000000000001</v>
      </c>
      <c r="BP27" s="9"/>
      <c r="BQ27" s="72">
        <v>0.109</v>
      </c>
      <c r="BR27" s="72">
        <v>0.13500000000000001</v>
      </c>
      <c r="BS27" s="10">
        <v>186101.90491863742</v>
      </c>
      <c r="BT27" s="11">
        <v>1803043.3</v>
      </c>
      <c r="BU27" s="22">
        <v>0.10321543854140243</v>
      </c>
      <c r="BV27" s="11">
        <v>1803043.3</v>
      </c>
      <c r="BW27" s="10">
        <v>186101.90491863742</v>
      </c>
    </row>
    <row r="28" spans="1:78">
      <c r="A28" t="str">
        <v>5i</v>
      </c>
      <c r="B28" t="str">
        <v>D_5i</v>
      </c>
      <c r="C28" t="str">
        <v>direct</v>
      </c>
      <c r="D28" s="10">
        <v>1923942</v>
      </c>
      <c r="E28" s="10">
        <v>2212533.2999999998</v>
      </c>
      <c r="F28" s="10">
        <v>2900</v>
      </c>
      <c r="G28" s="10">
        <v>0</v>
      </c>
      <c r="H28" s="10">
        <v>0</v>
      </c>
      <c r="I28" s="10">
        <v>634900.86</v>
      </c>
      <c r="J28" s="10">
        <v>0</v>
      </c>
      <c r="K28" s="10">
        <v>1923942</v>
      </c>
      <c r="L28" s="10">
        <v>2212533.2999999998</v>
      </c>
      <c r="M28" s="10">
        <v>2900</v>
      </c>
      <c r="N28" s="10">
        <v>0</v>
      </c>
      <c r="O28" s="10">
        <v>0</v>
      </c>
      <c r="P28" s="10">
        <v>634900.86</v>
      </c>
      <c r="Q28" s="10">
        <v>0</v>
      </c>
      <c r="S28" t="str">
        <v>D_5i</v>
      </c>
      <c r="T28" t="str">
        <v>D</v>
      </c>
      <c r="U28" t="str">
        <v>5i</v>
      </c>
      <c r="W28" s="10">
        <v>1923942</v>
      </c>
      <c r="X28" s="10">
        <v>2212533.2999999998</v>
      </c>
      <c r="Y28" s="10">
        <v>2900</v>
      </c>
      <c r="Z28" s="10">
        <v>0</v>
      </c>
      <c r="AA28" s="10">
        <v>0</v>
      </c>
      <c r="AB28" s="10">
        <v>634900.86</v>
      </c>
      <c r="AC28" s="10">
        <v>0</v>
      </c>
      <c r="AD28" s="10">
        <v>1923942</v>
      </c>
      <c r="AE28" s="10">
        <v>2212533.2999999998</v>
      </c>
      <c r="AF28" s="10">
        <v>2900</v>
      </c>
      <c r="AG28" s="10">
        <v>0</v>
      </c>
      <c r="AH28" s="10">
        <v>0</v>
      </c>
      <c r="AI28" s="10">
        <v>634900.86</v>
      </c>
      <c r="AJ28" s="10">
        <v>0</v>
      </c>
      <c r="AL28" s="10">
        <v>1923942</v>
      </c>
      <c r="AM28" s="10">
        <v>2212533.2999999998</v>
      </c>
      <c r="AN28" s="10">
        <v>2900</v>
      </c>
      <c r="AO28" s="10">
        <v>0</v>
      </c>
      <c r="AP28" s="10">
        <v>0</v>
      </c>
      <c r="AQ28" s="10">
        <v>634900.86</v>
      </c>
      <c r="AR28" s="10">
        <v>0</v>
      </c>
      <c r="AS28" s="10">
        <v>1923942</v>
      </c>
      <c r="AT28" s="10">
        <v>2212533.2999999998</v>
      </c>
      <c r="AU28" s="10">
        <v>2900</v>
      </c>
      <c r="AV28" s="10">
        <v>0</v>
      </c>
      <c r="AW28" s="10">
        <v>0</v>
      </c>
      <c r="AX28" s="10">
        <v>634900.86</v>
      </c>
      <c r="AY28" s="10">
        <v>0</v>
      </c>
      <c r="BA28" s="11">
        <v>2212533.2999999998</v>
      </c>
      <c r="BB28" s="11">
        <v>634900.86</v>
      </c>
      <c r="BC28" s="11">
        <v>2212533.2999999998</v>
      </c>
      <c r="BD28" s="11">
        <v>634900.86</v>
      </c>
      <c r="BE28" s="11">
        <v>2212533.2999999998</v>
      </c>
      <c r="BF28" s="11">
        <v>634900.86</v>
      </c>
      <c r="BG28" s="11">
        <v>2212533.2999999998</v>
      </c>
      <c r="BH28" s="11">
        <v>634900.86</v>
      </c>
      <c r="BI28" s="11"/>
      <c r="BJ28" s="11">
        <v>2212533.2999999998</v>
      </c>
      <c r="BK28" s="11">
        <v>634900.86</v>
      </c>
      <c r="BM28" t="s">
        <v>46</v>
      </c>
      <c r="BN28" s="9">
        <v>0.14599999999999999</v>
      </c>
      <c r="BO28" s="9">
        <v>0.107</v>
      </c>
      <c r="BP28" s="9"/>
      <c r="BQ28" s="72">
        <v>0.14599999999999999</v>
      </c>
      <c r="BR28" s="72">
        <v>0.107</v>
      </c>
      <c r="BS28" s="10">
        <v>361812.39682927082</v>
      </c>
      <c r="BT28" s="11">
        <v>2847434.1599999997</v>
      </c>
      <c r="BU28" s="22">
        <v>0.12706611514040095</v>
      </c>
      <c r="BV28" s="11">
        <v>2847434.1599999997</v>
      </c>
      <c r="BW28" s="10">
        <v>361812.39682927082</v>
      </c>
    </row>
    <row r="29" spans="1:78">
      <c r="A29" t="str">
        <v>5ii</v>
      </c>
      <c r="B29" t="str">
        <v>P_5ii</v>
      </c>
      <c r="C29" t="str">
        <v>intermediated</v>
      </c>
      <c r="D29" s="10">
        <v>3440269.18</v>
      </c>
      <c r="E29" s="10">
        <v>-3134538.32</v>
      </c>
      <c r="F29" s="10">
        <v>3010</v>
      </c>
      <c r="G29" s="10">
        <v>0</v>
      </c>
      <c r="H29" s="10">
        <v>0</v>
      </c>
      <c r="I29" s="10">
        <v>1548121.1310000001</v>
      </c>
      <c r="J29" s="10">
        <v>0</v>
      </c>
      <c r="K29" s="10">
        <v>3440269.18</v>
      </c>
      <c r="L29" s="10">
        <v>-3134538.32</v>
      </c>
      <c r="M29" s="10">
        <v>3010</v>
      </c>
      <c r="N29" s="10">
        <v>0</v>
      </c>
      <c r="O29" s="10">
        <v>0</v>
      </c>
      <c r="P29" s="10">
        <v>1548121.1310000001</v>
      </c>
      <c r="Q29" s="10">
        <v>0</v>
      </c>
      <c r="S29" t="str">
        <v>P_5ii</v>
      </c>
      <c r="T29" t="str">
        <v>P</v>
      </c>
      <c r="U29" t="str">
        <v>5ii</v>
      </c>
      <c r="W29" s="10">
        <v>4000313</v>
      </c>
      <c r="X29" s="10">
        <v>-3644812</v>
      </c>
      <c r="Y29" s="10">
        <v>3500</v>
      </c>
      <c r="Z29" s="10">
        <v>0</v>
      </c>
      <c r="AA29" s="10">
        <v>0</v>
      </c>
      <c r="AB29" s="10">
        <v>1800140.85</v>
      </c>
      <c r="AC29" s="10">
        <v>0</v>
      </c>
      <c r="AD29" s="10">
        <v>3400266.05</v>
      </c>
      <c r="AE29" s="10">
        <v>3060239.4450000003</v>
      </c>
      <c r="AF29" s="10">
        <v>2975</v>
      </c>
      <c r="AG29" s="10">
        <v>0</v>
      </c>
      <c r="AH29" s="10">
        <v>0</v>
      </c>
      <c r="AI29" s="10">
        <v>1530119.7225000001</v>
      </c>
      <c r="AJ29" s="10">
        <v>0</v>
      </c>
      <c r="AL29" s="10">
        <v>3440269.18</v>
      </c>
      <c r="AM29" s="10">
        <v>-3134538.32</v>
      </c>
      <c r="AN29" s="10">
        <v>3010</v>
      </c>
      <c r="AO29" s="10">
        <v>0</v>
      </c>
      <c r="AP29" s="10">
        <v>0</v>
      </c>
      <c r="AQ29" s="10">
        <v>1548121.1310000001</v>
      </c>
      <c r="AR29" s="10">
        <v>0</v>
      </c>
      <c r="AS29" s="10">
        <v>3440269.18</v>
      </c>
      <c r="AT29" s="10">
        <v>-3134538.32</v>
      </c>
      <c r="AU29" s="10">
        <v>3010</v>
      </c>
      <c r="AV29" s="10">
        <v>0</v>
      </c>
      <c r="AW29" s="10">
        <v>0</v>
      </c>
      <c r="AX29" s="10">
        <v>1548121.1310000001</v>
      </c>
      <c r="AY29" s="10">
        <v>0</v>
      </c>
      <c r="BA29" s="11">
        <v>4000313</v>
      </c>
      <c r="BB29" s="11">
        <v>1800140.85</v>
      </c>
      <c r="BC29" s="11">
        <v>3400266.05</v>
      </c>
      <c r="BD29" s="11">
        <v>1530119.7225000001</v>
      </c>
      <c r="BE29" s="11">
        <v>3440269.18</v>
      </c>
      <c r="BF29" s="11">
        <v>1548121.1310000001</v>
      </c>
      <c r="BG29" s="11">
        <v>3440269.18</v>
      </c>
      <c r="BH29" s="11">
        <v>1548121.1310000001</v>
      </c>
      <c r="BI29" s="11"/>
      <c r="BJ29" s="11">
        <v>3440269.18</v>
      </c>
      <c r="BK29" s="11">
        <v>1548121.1310000001</v>
      </c>
      <c r="BM29" t="s">
        <v>47</v>
      </c>
      <c r="BN29" s="9">
        <v>0.14599999999999999</v>
      </c>
      <c r="BO29" s="9">
        <v>0.107</v>
      </c>
      <c r="BP29" s="9"/>
      <c r="BQ29" s="72">
        <v>0.14599999999999999</v>
      </c>
      <c r="BR29" s="72">
        <v>0.107</v>
      </c>
      <c r="BS29" s="10">
        <v>602433.49675089098</v>
      </c>
      <c r="BT29" s="11">
        <v>4988390.3110000007</v>
      </c>
      <c r="BU29" s="22">
        <v>0.12076711307502395</v>
      </c>
      <c r="BV29" s="11">
        <v>4988390.3110000007</v>
      </c>
      <c r="BW29" s="10">
        <v>602433.49675089098</v>
      </c>
    </row>
    <row r="30" spans="1:78">
      <c r="A30" t="str">
        <v>6i</v>
      </c>
      <c r="B30" t="str">
        <v>D_6i</v>
      </c>
      <c r="C30" t="str">
        <v>specialised</v>
      </c>
      <c r="D30" s="10">
        <v>1652831</v>
      </c>
      <c r="E30" s="10">
        <v>1669359.31</v>
      </c>
      <c r="F30" s="10">
        <v>2100</v>
      </c>
      <c r="G30" s="10">
        <v>0</v>
      </c>
      <c r="H30" s="10">
        <v>895</v>
      </c>
      <c r="I30" s="10">
        <v>462792.68000000005</v>
      </c>
      <c r="J30" s="10">
        <v>0</v>
      </c>
      <c r="K30" s="10">
        <v>1652831</v>
      </c>
      <c r="L30" s="10">
        <v>1669359.31</v>
      </c>
      <c r="M30" s="10">
        <v>2100</v>
      </c>
      <c r="N30" s="10">
        <v>0</v>
      </c>
      <c r="O30" s="10">
        <v>895</v>
      </c>
      <c r="P30" s="10">
        <v>462792.68000000005</v>
      </c>
      <c r="Q30" s="10">
        <v>0</v>
      </c>
      <c r="S30" t="str">
        <v>D_6i</v>
      </c>
      <c r="T30" t="str">
        <v>D</v>
      </c>
      <c r="U30" t="str">
        <v>6i</v>
      </c>
      <c r="W30" s="10">
        <v>1652831</v>
      </c>
      <c r="X30" s="10">
        <v>1669359.31</v>
      </c>
      <c r="Y30" s="10">
        <v>2100</v>
      </c>
      <c r="Z30" s="10">
        <v>0</v>
      </c>
      <c r="AA30" s="10">
        <v>895</v>
      </c>
      <c r="AB30" s="10">
        <v>462792.68000000005</v>
      </c>
      <c r="AC30" s="10">
        <v>0</v>
      </c>
      <c r="AD30" s="10">
        <v>1652831</v>
      </c>
      <c r="AE30" s="10">
        <v>1669359.31</v>
      </c>
      <c r="AF30" s="10">
        <v>2100</v>
      </c>
      <c r="AG30" s="10">
        <v>0</v>
      </c>
      <c r="AH30" s="10">
        <v>0</v>
      </c>
      <c r="AI30" s="10">
        <v>462792.68000000005</v>
      </c>
      <c r="AJ30" s="10">
        <v>0</v>
      </c>
      <c r="AL30" s="10">
        <v>1652831</v>
      </c>
      <c r="AM30" s="10">
        <v>1669359.31</v>
      </c>
      <c r="AN30" s="10">
        <v>2100</v>
      </c>
      <c r="AO30" s="10">
        <v>0</v>
      </c>
      <c r="AP30" s="10">
        <v>895</v>
      </c>
      <c r="AQ30" s="10">
        <v>462792.68000000005</v>
      </c>
      <c r="AR30" s="10">
        <v>0</v>
      </c>
      <c r="AS30" s="10">
        <v>1652831</v>
      </c>
      <c r="AT30" s="10">
        <v>1669359.31</v>
      </c>
      <c r="AU30" s="10">
        <v>2100</v>
      </c>
      <c r="AV30" s="10">
        <v>0</v>
      </c>
      <c r="AW30" s="10">
        <v>895</v>
      </c>
      <c r="AX30" s="10">
        <v>462792.68000000005</v>
      </c>
      <c r="AY30" s="10">
        <v>0</v>
      </c>
      <c r="BA30" s="11">
        <v>1670254.31</v>
      </c>
      <c r="BB30" s="11">
        <v>462792.68000000005</v>
      </c>
      <c r="BC30" s="11">
        <v>1669359.31</v>
      </c>
      <c r="BD30" s="11">
        <v>462792.68000000005</v>
      </c>
      <c r="BE30" s="11">
        <v>1670254.31</v>
      </c>
      <c r="BF30" s="11">
        <v>462792.68000000005</v>
      </c>
      <c r="BG30" s="11">
        <v>1670254.31</v>
      </c>
      <c r="BH30" s="11">
        <v>462792.68000000005</v>
      </c>
      <c r="BI30" s="11"/>
      <c r="BJ30" s="11">
        <v>1670254.31</v>
      </c>
      <c r="BK30" s="11">
        <v>462792.68000000005</v>
      </c>
      <c r="BM30" t="s">
        <v>48</v>
      </c>
      <c r="BN30" s="9">
        <v>0.14499999999999999</v>
      </c>
      <c r="BO30" s="9">
        <v>0.126</v>
      </c>
      <c r="BP30" s="9"/>
      <c r="BQ30" s="72">
        <v>0.14499999999999999</v>
      </c>
      <c r="BR30" s="72">
        <v>0.126</v>
      </c>
      <c r="BS30" s="10">
        <v>276002.04510908987</v>
      </c>
      <c r="BT30" s="11">
        <v>2133046.9900000002</v>
      </c>
      <c r="BU30" s="22">
        <v>0.12939332626192629</v>
      </c>
      <c r="BV30" s="11">
        <v>2133046.9900000002</v>
      </c>
      <c r="BW30" s="10">
        <v>276002.04510908987</v>
      </c>
    </row>
    <row r="31" spans="1:78">
      <c r="A31" t="str">
        <v>6ii</v>
      </c>
      <c r="B31" t="str">
        <v>D_6ii</v>
      </c>
      <c r="C31" t="str">
        <v>direct</v>
      </c>
      <c r="D31" s="10">
        <v>4988704</v>
      </c>
      <c r="E31" s="10">
        <v>5188252.16</v>
      </c>
      <c r="F31" s="10">
        <v>2900</v>
      </c>
      <c r="G31" s="10">
        <v>0</v>
      </c>
      <c r="H31" s="10">
        <v>0</v>
      </c>
      <c r="I31" s="10">
        <v>2195029.7600000002</v>
      </c>
      <c r="J31" s="10">
        <v>0</v>
      </c>
      <c r="K31" s="10">
        <v>4988704</v>
      </c>
      <c r="L31" s="10">
        <v>5188252.16</v>
      </c>
      <c r="M31" s="10">
        <v>2900</v>
      </c>
      <c r="N31" s="10">
        <v>0</v>
      </c>
      <c r="O31" s="10">
        <v>0</v>
      </c>
      <c r="P31" s="10">
        <v>2195029.7600000002</v>
      </c>
      <c r="Q31" s="10">
        <v>0</v>
      </c>
      <c r="S31" t="str">
        <v>D_6ii</v>
      </c>
      <c r="T31" t="str">
        <v>D</v>
      </c>
      <c r="U31" t="str">
        <v>6ii</v>
      </c>
      <c r="W31" s="10">
        <v>4988704</v>
      </c>
      <c r="X31" s="10">
        <v>5188252.16</v>
      </c>
      <c r="Y31" s="10">
        <v>2900</v>
      </c>
      <c r="Z31" s="10">
        <v>0</v>
      </c>
      <c r="AA31" s="10">
        <v>0</v>
      </c>
      <c r="AB31" s="10">
        <v>2195029.7600000002</v>
      </c>
      <c r="AC31" s="10">
        <v>0</v>
      </c>
      <c r="AD31" s="10">
        <v>4988704</v>
      </c>
      <c r="AE31" s="10">
        <v>5188252.16</v>
      </c>
      <c r="AF31" s="10">
        <v>2900</v>
      </c>
      <c r="AG31" s="10">
        <v>0</v>
      </c>
      <c r="AH31" s="10">
        <v>0</v>
      </c>
      <c r="AI31" s="10">
        <v>2195029.7600000002</v>
      </c>
      <c r="AJ31" s="10">
        <v>0</v>
      </c>
      <c r="AL31" s="10">
        <v>4988704</v>
      </c>
      <c r="AM31" s="10">
        <v>5188252.16</v>
      </c>
      <c r="AN31" s="10">
        <v>2900</v>
      </c>
      <c r="AO31" s="10">
        <v>0</v>
      </c>
      <c r="AP31" s="10">
        <v>0</v>
      </c>
      <c r="AQ31" s="10">
        <v>2195029.7600000002</v>
      </c>
      <c r="AR31" s="10">
        <v>0</v>
      </c>
      <c r="AS31" s="10">
        <v>4988704</v>
      </c>
      <c r="AT31" s="10">
        <v>5188252.16</v>
      </c>
      <c r="AU31" s="10">
        <v>2900</v>
      </c>
      <c r="AV31" s="10">
        <v>0</v>
      </c>
      <c r="AW31" s="10">
        <v>0</v>
      </c>
      <c r="AX31" s="10">
        <v>2195029.7600000002</v>
      </c>
      <c r="AY31" s="10">
        <v>0</v>
      </c>
      <c r="BA31" s="11">
        <v>5188252.16</v>
      </c>
      <c r="BB31" s="11">
        <v>2195029.7600000002</v>
      </c>
      <c r="BC31" s="11">
        <v>5188252.16</v>
      </c>
      <c r="BD31" s="11">
        <v>2195029.7600000002</v>
      </c>
      <c r="BE31" s="11">
        <v>5188252.16</v>
      </c>
      <c r="BF31" s="11">
        <v>2195029.7600000002</v>
      </c>
      <c r="BG31" s="11">
        <v>5188252.16</v>
      </c>
      <c r="BH31" s="11">
        <v>2195029.7600000002</v>
      </c>
      <c r="BI31" s="11"/>
      <c r="BJ31" s="11">
        <v>5188252.16</v>
      </c>
      <c r="BK31" s="11">
        <v>2195029.7600000002</v>
      </c>
      <c r="BM31" t="s">
        <v>49</v>
      </c>
      <c r="BN31" s="9">
        <v>0.14499999999999999</v>
      </c>
      <c r="BO31" s="9">
        <v>0.126</v>
      </c>
      <c r="BP31" s="9"/>
      <c r="BQ31" s="72">
        <v>0.14499999999999999</v>
      </c>
      <c r="BR31" s="72">
        <v>0.126</v>
      </c>
      <c r="BS31" s="10">
        <v>922230.25295997725</v>
      </c>
      <c r="BT31" s="11">
        <v>7383281.9199999999</v>
      </c>
      <c r="BU31" s="22">
        <v>0.12490790179118302</v>
      </c>
      <c r="BV31" s="11">
        <v>7383281.9199999999</v>
      </c>
      <c r="BW31" s="10">
        <v>922230.25295997725</v>
      </c>
    </row>
    <row r="32" spans="1:78">
      <c r="A32" t="str">
        <v>7i</v>
      </c>
      <c r="B32" t="str">
        <v>D_7i</v>
      </c>
      <c r="C32" t="str">
        <v>direct</v>
      </c>
      <c r="D32" s="10">
        <v>1559022.3</v>
      </c>
      <c r="E32" s="10">
        <v>1512251.6310000001</v>
      </c>
      <c r="F32" s="10">
        <v>1595.0000000000002</v>
      </c>
      <c r="G32" s="10">
        <v>0</v>
      </c>
      <c r="H32" s="10">
        <v>0</v>
      </c>
      <c r="I32" s="10">
        <v>670379.58900000004</v>
      </c>
      <c r="J32" s="10">
        <v>0</v>
      </c>
      <c r="K32" s="10">
        <v>1559022.3</v>
      </c>
      <c r="L32" s="10">
        <v>1512251.6310000001</v>
      </c>
      <c r="M32" s="10">
        <v>1595.0000000000002</v>
      </c>
      <c r="N32" s="10">
        <v>0</v>
      </c>
      <c r="O32" s="10">
        <v>0</v>
      </c>
      <c r="P32" s="10">
        <v>670379.58900000004</v>
      </c>
      <c r="Q32" s="10">
        <v>0</v>
      </c>
      <c r="S32" t="str">
        <v>D_7i</v>
      </c>
      <c r="T32" t="str">
        <v>D</v>
      </c>
      <c r="U32" t="str">
        <v>7i</v>
      </c>
      <c r="W32" s="10">
        <v>2834586</v>
      </c>
      <c r="X32" s="10">
        <v>2749548.42</v>
      </c>
      <c r="Y32" s="10">
        <v>2900</v>
      </c>
      <c r="Z32" s="10">
        <v>0</v>
      </c>
      <c r="AA32" s="10">
        <v>0</v>
      </c>
      <c r="AB32" s="10">
        <v>1218871.98</v>
      </c>
      <c r="AC32" s="10">
        <v>0</v>
      </c>
      <c r="AD32" s="10">
        <v>1417293</v>
      </c>
      <c r="AE32" s="10">
        <v>1374774.21</v>
      </c>
      <c r="AF32" s="10">
        <v>1450</v>
      </c>
      <c r="AG32" s="10">
        <v>0</v>
      </c>
      <c r="AH32" s="10">
        <v>0</v>
      </c>
      <c r="AI32" s="10">
        <v>609435.99</v>
      </c>
      <c r="AJ32" s="10">
        <v>0</v>
      </c>
      <c r="AL32" s="10">
        <v>1559022.3</v>
      </c>
      <c r="AM32" s="10">
        <v>1512251.6310000001</v>
      </c>
      <c r="AN32" s="10">
        <v>1595.0000000000002</v>
      </c>
      <c r="AO32" s="10">
        <v>0</v>
      </c>
      <c r="AP32" s="10">
        <v>0</v>
      </c>
      <c r="AQ32" s="10">
        <v>670379.58900000004</v>
      </c>
      <c r="AR32" s="10">
        <v>0</v>
      </c>
      <c r="AS32" s="10">
        <v>1559022.3</v>
      </c>
      <c r="AT32" s="10">
        <v>1512251.6310000001</v>
      </c>
      <c r="AU32" s="10">
        <v>1595.0000000000002</v>
      </c>
      <c r="AV32" s="10">
        <v>0</v>
      </c>
      <c r="AW32" s="10">
        <v>0</v>
      </c>
      <c r="AX32" s="10">
        <v>670379.58900000004</v>
      </c>
      <c r="AY32" s="10">
        <v>0</v>
      </c>
      <c r="BA32" s="11">
        <v>2834586</v>
      </c>
      <c r="BB32" s="11">
        <v>1218871.98</v>
      </c>
      <c r="BC32" s="11">
        <v>1417293</v>
      </c>
      <c r="BD32" s="11">
        <v>609435.99</v>
      </c>
      <c r="BE32" s="11">
        <v>1559022.3</v>
      </c>
      <c r="BF32" s="11">
        <v>670379.58900000004</v>
      </c>
      <c r="BG32" s="11">
        <v>1559022.3</v>
      </c>
      <c r="BH32" s="11">
        <v>670379.58900000004</v>
      </c>
      <c r="BI32" s="11"/>
      <c r="BJ32" s="11">
        <v>1559022.3</v>
      </c>
      <c r="BK32" s="11">
        <v>670379.58900000004</v>
      </c>
      <c r="BM32" t="s">
        <v>50</v>
      </c>
      <c r="BN32" s="9">
        <v>0.14599999999999999</v>
      </c>
      <c r="BO32" s="9">
        <v>0.107</v>
      </c>
      <c r="BP32" s="9"/>
      <c r="BQ32" s="72">
        <v>0.14599999999999999</v>
      </c>
      <c r="BR32" s="72">
        <v>0.107</v>
      </c>
      <c r="BS32" s="10">
        <v>270706.52446692239</v>
      </c>
      <c r="BT32" s="11">
        <v>2229401.889</v>
      </c>
      <c r="BU32" s="22">
        <v>0.12142562801377549</v>
      </c>
      <c r="BV32" s="11">
        <v>2229401.889</v>
      </c>
      <c r="BW32" s="10">
        <v>270706.52446692239</v>
      </c>
    </row>
    <row r="33" spans="1:75">
      <c r="A33" t="str">
        <v>7ii</v>
      </c>
      <c r="B33" t="str">
        <v>D_7ii</v>
      </c>
      <c r="C33" t="str">
        <v>intermediated</v>
      </c>
      <c r="D33" s="10">
        <v>2687528</v>
      </c>
      <c r="E33" s="10">
        <v>2741278.56</v>
      </c>
      <c r="F33" s="10">
        <v>3500</v>
      </c>
      <c r="G33" s="10">
        <v>0</v>
      </c>
      <c r="H33" s="10">
        <v>0</v>
      </c>
      <c r="I33" s="10">
        <v>940634.79999999993</v>
      </c>
      <c r="J33" s="10">
        <v>0</v>
      </c>
      <c r="K33" s="10">
        <v>2687528</v>
      </c>
      <c r="L33" s="10">
        <v>2741278.56</v>
      </c>
      <c r="M33" s="10">
        <v>3500</v>
      </c>
      <c r="N33" s="10">
        <v>0</v>
      </c>
      <c r="O33" s="10">
        <v>0</v>
      </c>
      <c r="P33" s="10">
        <v>940634.79999999993</v>
      </c>
      <c r="Q33" s="10">
        <v>0</v>
      </c>
      <c r="S33" t="str">
        <v>D_7ii</v>
      </c>
      <c r="T33" t="str">
        <v>D</v>
      </c>
      <c r="U33" t="str">
        <v>7ii</v>
      </c>
      <c r="W33" s="10">
        <v>2687528</v>
      </c>
      <c r="X33" s="10">
        <v>2741278.56</v>
      </c>
      <c r="Y33" s="10">
        <v>3500</v>
      </c>
      <c r="Z33" s="10">
        <v>0</v>
      </c>
      <c r="AA33" s="10">
        <v>0</v>
      </c>
      <c r="AB33" s="10">
        <v>940634.79999999993</v>
      </c>
      <c r="AC33" s="10">
        <v>0</v>
      </c>
      <c r="AD33" s="10">
        <v>2687528</v>
      </c>
      <c r="AE33" s="10">
        <v>2741278.56</v>
      </c>
      <c r="AF33" s="10">
        <v>3500</v>
      </c>
      <c r="AG33" s="10">
        <v>0</v>
      </c>
      <c r="AH33" s="10">
        <v>0</v>
      </c>
      <c r="AI33" s="10">
        <v>940634.79999999993</v>
      </c>
      <c r="AJ33" s="10">
        <v>0</v>
      </c>
      <c r="AL33" s="10">
        <v>2687528</v>
      </c>
      <c r="AM33" s="10">
        <v>2741278.56</v>
      </c>
      <c r="AN33" s="10">
        <v>3500</v>
      </c>
      <c r="AO33" s="10">
        <v>0</v>
      </c>
      <c r="AP33" s="10">
        <v>0</v>
      </c>
      <c r="AQ33" s="10">
        <v>940634.79999999993</v>
      </c>
      <c r="AR33" s="10">
        <v>0</v>
      </c>
      <c r="AS33" s="10">
        <v>2687528</v>
      </c>
      <c r="AT33" s="10">
        <v>2741278.56</v>
      </c>
      <c r="AU33" s="10">
        <v>3500</v>
      </c>
      <c r="AV33" s="10">
        <v>0</v>
      </c>
      <c r="AW33" s="10">
        <v>0</v>
      </c>
      <c r="AX33" s="10">
        <v>940634.79999999993</v>
      </c>
      <c r="AY33" s="10">
        <v>0</v>
      </c>
      <c r="BA33" s="11">
        <v>2741278.56</v>
      </c>
      <c r="BB33" s="11">
        <v>940634.79999999993</v>
      </c>
      <c r="BC33" s="11">
        <v>2741278.56</v>
      </c>
      <c r="BD33" s="11">
        <v>940634.79999999993</v>
      </c>
      <c r="BE33" s="11">
        <v>2741278.56</v>
      </c>
      <c r="BF33" s="11">
        <v>940634.79999999993</v>
      </c>
      <c r="BG33" s="11">
        <v>2741278.56</v>
      </c>
      <c r="BH33" s="11">
        <v>940634.79999999993</v>
      </c>
      <c r="BI33" s="11"/>
      <c r="BJ33" s="11">
        <v>2741278.56</v>
      </c>
      <c r="BK33" s="11">
        <v>940634.79999999993</v>
      </c>
      <c r="BM33" t="s">
        <v>51</v>
      </c>
      <c r="BN33" s="9">
        <v>0.14599999999999999</v>
      </c>
      <c r="BO33" s="9">
        <v>0.107</v>
      </c>
      <c r="BP33" s="9"/>
      <c r="BQ33" s="72">
        <v>0.14599999999999999</v>
      </c>
      <c r="BR33" s="72">
        <v>0.107</v>
      </c>
      <c r="BS33" s="10">
        <v>458904.53799549461</v>
      </c>
      <c r="BT33" s="11">
        <v>3681913.36</v>
      </c>
      <c r="BU33" s="22">
        <v>0.12463751672730687</v>
      </c>
      <c r="BV33" s="11">
        <v>3681913.36</v>
      </c>
      <c r="BW33" s="10">
        <v>458904.53799549461</v>
      </c>
    </row>
    <row r="34" spans="1:75">
      <c r="A34" t="str">
        <v>8i</v>
      </c>
      <c r="B34" t="str">
        <v>P_8i</v>
      </c>
      <c r="C34" t="str">
        <v>specialised</v>
      </c>
      <c r="D34" s="10">
        <v>-3598</v>
      </c>
      <c r="E34" s="10">
        <v>3054866.44</v>
      </c>
      <c r="F34" s="10">
        <v>2100</v>
      </c>
      <c r="G34" s="10">
        <v>-4587</v>
      </c>
      <c r="H34" s="10">
        <v>0</v>
      </c>
      <c r="I34" s="10">
        <v>896536.89</v>
      </c>
      <c r="J34" s="10">
        <v>0</v>
      </c>
      <c r="K34" s="10">
        <v>-3598</v>
      </c>
      <c r="L34" s="10">
        <v>3054866.44</v>
      </c>
      <c r="M34" s="10">
        <v>2100</v>
      </c>
      <c r="N34" s="10">
        <v>-4587</v>
      </c>
      <c r="O34" s="10">
        <v>0</v>
      </c>
      <c r="P34" s="10">
        <v>896536.89</v>
      </c>
      <c r="Q34" s="10">
        <v>0</v>
      </c>
      <c r="S34" t="str">
        <v>P_8i</v>
      </c>
      <c r="T34" t="str">
        <v>P</v>
      </c>
      <c r="U34" t="str">
        <v>8i</v>
      </c>
      <c r="W34" s="10">
        <v>-3598</v>
      </c>
      <c r="X34" s="10">
        <v>3054866.44</v>
      </c>
      <c r="Y34" s="10">
        <v>2100</v>
      </c>
      <c r="Z34" s="10">
        <v>-4587</v>
      </c>
      <c r="AA34" s="10">
        <v>0</v>
      </c>
      <c r="AB34" s="10">
        <v>896536.89</v>
      </c>
      <c r="AC34" s="10">
        <v>0</v>
      </c>
      <c r="AD34" s="10">
        <v>3320507</v>
      </c>
      <c r="AE34" s="10">
        <v>3054866.44</v>
      </c>
      <c r="AF34" s="10">
        <v>2100</v>
      </c>
      <c r="AG34" s="10">
        <v>0</v>
      </c>
      <c r="AH34" s="10">
        <v>0</v>
      </c>
      <c r="AI34" s="10">
        <v>896536.89</v>
      </c>
      <c r="AJ34" s="10">
        <v>0</v>
      </c>
      <c r="AL34" s="10">
        <v>-3598</v>
      </c>
      <c r="AM34" s="10">
        <v>3054866.44</v>
      </c>
      <c r="AN34" s="10">
        <v>2100</v>
      </c>
      <c r="AO34" s="10">
        <v>-4587</v>
      </c>
      <c r="AP34" s="10">
        <v>0</v>
      </c>
      <c r="AQ34" s="10">
        <v>896536.89</v>
      </c>
      <c r="AR34" s="10">
        <v>0</v>
      </c>
      <c r="AS34" s="10">
        <v>-3598</v>
      </c>
      <c r="AT34" s="10">
        <v>3054866.44</v>
      </c>
      <c r="AU34" s="10">
        <v>2100</v>
      </c>
      <c r="AV34" s="10">
        <v>-4587</v>
      </c>
      <c r="AW34" s="10">
        <v>0</v>
      </c>
      <c r="AX34" s="10">
        <v>896536.89</v>
      </c>
      <c r="AY34" s="10">
        <v>0</v>
      </c>
      <c r="BA34" s="11">
        <v>3050279.44</v>
      </c>
      <c r="BB34" s="11">
        <v>896536.89</v>
      </c>
      <c r="BC34" s="11">
        <v>3320507</v>
      </c>
      <c r="BD34" s="11">
        <v>896536.89</v>
      </c>
      <c r="BE34" s="11">
        <v>3050279.44</v>
      </c>
      <c r="BF34" s="11">
        <v>896536.89</v>
      </c>
      <c r="BG34" s="11">
        <v>3050279.44</v>
      </c>
      <c r="BH34" s="11">
        <v>896536.89</v>
      </c>
      <c r="BI34" s="11"/>
      <c r="BJ34" s="11">
        <v>3050279.44</v>
      </c>
      <c r="BK34" s="11">
        <v>896536.89</v>
      </c>
      <c r="BM34" t="s">
        <v>52</v>
      </c>
      <c r="BN34" s="9">
        <v>0.14599999999999999</v>
      </c>
      <c r="BO34" s="9">
        <v>0.107</v>
      </c>
      <c r="BP34" s="9"/>
      <c r="BQ34" s="72">
        <v>0.14599999999999999</v>
      </c>
      <c r="BR34" s="72">
        <v>0.107</v>
      </c>
      <c r="BS34" s="10">
        <v>500252.11846330436</v>
      </c>
      <c r="BT34" s="11">
        <v>3946816.33</v>
      </c>
      <c r="BU34" s="22">
        <v>0.1267482640782791</v>
      </c>
      <c r="BV34" s="11">
        <v>3946816.33</v>
      </c>
      <c r="BW34" s="10">
        <v>500252.11846330436</v>
      </c>
    </row>
    <row r="35" spans="1:75">
      <c r="A35" t="str">
        <v>8ii</v>
      </c>
      <c r="B35" t="str">
        <v>D_8ii</v>
      </c>
      <c r="C35" t="str">
        <v>direct</v>
      </c>
      <c r="D35" s="10">
        <v>4552967</v>
      </c>
      <c r="E35" s="10">
        <v>5008263.7</v>
      </c>
      <c r="F35" s="10">
        <v>2000</v>
      </c>
      <c r="G35" s="10">
        <v>0</v>
      </c>
      <c r="H35" s="10">
        <v>0</v>
      </c>
      <c r="I35" s="10">
        <v>1320360.43</v>
      </c>
      <c r="J35" s="10">
        <v>0</v>
      </c>
      <c r="K35" s="10">
        <v>4552967</v>
      </c>
      <c r="L35" s="10">
        <v>5008263.7</v>
      </c>
      <c r="M35" s="10">
        <v>2000</v>
      </c>
      <c r="N35" s="10">
        <v>0</v>
      </c>
      <c r="O35" s="10">
        <v>0</v>
      </c>
      <c r="P35" s="10">
        <v>1320360.43</v>
      </c>
      <c r="Q35" s="10">
        <v>0</v>
      </c>
      <c r="S35" t="str">
        <v>D_8ii</v>
      </c>
      <c r="T35" t="str">
        <v>D</v>
      </c>
      <c r="U35" t="str">
        <v>8ii</v>
      </c>
      <c r="W35" s="10">
        <v>4552967</v>
      </c>
      <c r="X35" s="10">
        <v>5008263.7</v>
      </c>
      <c r="Y35" s="10">
        <v>2000</v>
      </c>
      <c r="Z35" s="10">
        <v>0</v>
      </c>
      <c r="AA35" s="10">
        <v>0</v>
      </c>
      <c r="AB35" s="10">
        <v>1320360.43</v>
      </c>
      <c r="AC35" s="10">
        <v>0</v>
      </c>
      <c r="AD35" s="10">
        <v>4552967</v>
      </c>
      <c r="AE35" s="10">
        <v>5008263.7</v>
      </c>
      <c r="AF35" s="10">
        <v>2000</v>
      </c>
      <c r="AG35" s="10">
        <v>0</v>
      </c>
      <c r="AH35" s="10">
        <v>0</v>
      </c>
      <c r="AI35" s="10">
        <v>1320360.43</v>
      </c>
      <c r="AJ35" s="10">
        <v>0</v>
      </c>
      <c r="AL35" s="10">
        <v>4552967</v>
      </c>
      <c r="AM35" s="10">
        <v>5008263.7</v>
      </c>
      <c r="AN35" s="10">
        <v>2000</v>
      </c>
      <c r="AO35" s="10">
        <v>0</v>
      </c>
      <c r="AP35" s="10">
        <v>0</v>
      </c>
      <c r="AQ35" s="10">
        <v>1320360.43</v>
      </c>
      <c r="AR35" s="10">
        <v>0</v>
      </c>
      <c r="AS35" s="10">
        <v>4552967</v>
      </c>
      <c r="AT35" s="10">
        <v>5008263.7</v>
      </c>
      <c r="AU35" s="10">
        <v>2000</v>
      </c>
      <c r="AV35" s="10">
        <v>0</v>
      </c>
      <c r="AW35" s="10">
        <v>0</v>
      </c>
      <c r="AX35" s="10">
        <v>1320360.43</v>
      </c>
      <c r="AY35" s="10">
        <v>0</v>
      </c>
      <c r="BA35" s="11">
        <v>5008263.7</v>
      </c>
      <c r="BB35" s="11">
        <v>1320360.43</v>
      </c>
      <c r="BC35" s="11">
        <v>5008263.7</v>
      </c>
      <c r="BD35" s="11">
        <v>1320360.43</v>
      </c>
      <c r="BE35" s="11">
        <v>5008263.7</v>
      </c>
      <c r="BF35" s="11">
        <v>1320360.43</v>
      </c>
      <c r="BG35" s="11">
        <v>5008263.7</v>
      </c>
      <c r="BH35" s="11">
        <v>1320360.43</v>
      </c>
      <c r="BI35" s="11"/>
      <c r="BJ35" s="11">
        <v>5008263.7</v>
      </c>
      <c r="BK35" s="11">
        <v>1320360.43</v>
      </c>
      <c r="BM35" t="s">
        <v>53</v>
      </c>
      <c r="BN35" s="9">
        <v>0.14599999999999999</v>
      </c>
      <c r="BO35" s="9">
        <v>0.107</v>
      </c>
      <c r="BP35" s="9"/>
      <c r="BQ35" s="72">
        <v>0.14599999999999999</v>
      </c>
      <c r="BR35" s="72">
        <v>0.107</v>
      </c>
      <c r="BS35" s="10">
        <v>811126.61462562147</v>
      </c>
      <c r="BT35" s="11">
        <v>6328624.1299999999</v>
      </c>
      <c r="BU35" s="22">
        <v>0.12816792370091687</v>
      </c>
      <c r="BV35" s="11">
        <v>6328624.1299999999</v>
      </c>
      <c r="BW35" s="10">
        <v>811126.61462562135</v>
      </c>
    </row>
    <row r="36" spans="1:75">
      <c r="A36" t="str">
        <v>9</v>
      </c>
      <c r="B36" t="str">
        <v>D_9</v>
      </c>
      <c r="C36" t="str">
        <v>specialised</v>
      </c>
      <c r="D36" s="10">
        <v>2453636.7599999998</v>
      </c>
      <c r="E36" s="10">
        <v>2330954.9219999998</v>
      </c>
      <c r="F36" s="10">
        <v>2494</v>
      </c>
      <c r="G36" s="10">
        <v>0</v>
      </c>
      <c r="H36" s="10">
        <v>0</v>
      </c>
      <c r="I36" s="10">
        <v>834236.49840000004</v>
      </c>
      <c r="J36" s="10">
        <v>0</v>
      </c>
      <c r="K36" s="10">
        <v>2453636.7599999998</v>
      </c>
      <c r="L36" s="10">
        <v>2330954.9219999998</v>
      </c>
      <c r="M36" s="10">
        <v>2494</v>
      </c>
      <c r="N36" s="10">
        <v>0</v>
      </c>
      <c r="O36" s="10">
        <v>0</v>
      </c>
      <c r="P36" s="10">
        <v>834236.49840000004</v>
      </c>
      <c r="Q36" s="10">
        <v>0</v>
      </c>
      <c r="S36" t="str">
        <v>D_9</v>
      </c>
      <c r="T36" t="str">
        <v>D</v>
      </c>
      <c r="U36" t="str">
        <v>9</v>
      </c>
      <c r="W36" s="10">
        <v>2853066</v>
      </c>
      <c r="X36" s="10">
        <v>2710412.6999999997</v>
      </c>
      <c r="Y36" s="10">
        <v>2900</v>
      </c>
      <c r="Z36" s="10">
        <v>0</v>
      </c>
      <c r="AA36" s="10">
        <v>0</v>
      </c>
      <c r="AB36" s="10">
        <v>970042.44000000006</v>
      </c>
      <c r="AC36" s="10">
        <v>0</v>
      </c>
      <c r="AD36" s="10">
        <v>2425106.1</v>
      </c>
      <c r="AE36" s="10">
        <v>2303850.7949999999</v>
      </c>
      <c r="AF36" s="10">
        <v>2465</v>
      </c>
      <c r="AG36" s="10">
        <v>0</v>
      </c>
      <c r="AH36" s="10">
        <v>0</v>
      </c>
      <c r="AI36" s="10">
        <v>824536.07400000002</v>
      </c>
      <c r="AJ36" s="10">
        <v>0</v>
      </c>
      <c r="AL36" s="10">
        <v>2453636.7599999998</v>
      </c>
      <c r="AM36" s="10">
        <v>2330954.9219999998</v>
      </c>
      <c r="AN36" s="10">
        <v>2494</v>
      </c>
      <c r="AO36" s="10">
        <v>0</v>
      </c>
      <c r="AP36" s="10">
        <v>0</v>
      </c>
      <c r="AQ36" s="10">
        <v>834236.49840000004</v>
      </c>
      <c r="AR36" s="10">
        <v>0</v>
      </c>
      <c r="AS36" s="10">
        <v>2453636.7599999998</v>
      </c>
      <c r="AT36" s="10">
        <v>2330954.9219999998</v>
      </c>
      <c r="AU36" s="10">
        <v>2494</v>
      </c>
      <c r="AV36" s="10">
        <v>0</v>
      </c>
      <c r="AW36" s="10">
        <v>0</v>
      </c>
      <c r="AX36" s="10">
        <v>834236.49840000004</v>
      </c>
      <c r="AY36" s="10">
        <v>0</v>
      </c>
      <c r="BA36" s="11">
        <v>2853066</v>
      </c>
      <c r="BB36" s="11">
        <v>970042.44000000006</v>
      </c>
      <c r="BC36" s="11">
        <v>2425106.1</v>
      </c>
      <c r="BD36" s="11">
        <v>824536.07400000002</v>
      </c>
      <c r="BE36" s="11">
        <v>2453636.7599999998</v>
      </c>
      <c r="BF36" s="11">
        <v>834236.49840000004</v>
      </c>
      <c r="BG36" s="11">
        <v>2453636.7599999998</v>
      </c>
      <c r="BH36" s="11">
        <v>834236.49840000004</v>
      </c>
      <c r="BI36" s="11"/>
      <c r="BJ36" s="11">
        <v>2453636.7599999998</v>
      </c>
      <c r="BK36" s="11">
        <v>834236.49840000004</v>
      </c>
      <c r="BM36" s="57" t="s">
        <v>73</v>
      </c>
      <c r="BN36" s="9">
        <v>6.9000000000000006E-2</v>
      </c>
      <c r="BO36" s="9">
        <v>0.13</v>
      </c>
      <c r="BP36" s="9"/>
      <c r="BQ36" s="72">
        <v>6.9000000000000006E-2</v>
      </c>
      <c r="BR36" s="72">
        <v>0.13</v>
      </c>
      <c r="BS36" s="10">
        <v>242456.56059653548</v>
      </c>
      <c r="BT36" s="11">
        <v>3287873.2583999997</v>
      </c>
      <c r="BU36" s="22">
        <v>7.3742672402927048E-2</v>
      </c>
      <c r="BV36" s="11">
        <v>3287873.2583999997</v>
      </c>
      <c r="BW36" s="10">
        <v>242456.56059653548</v>
      </c>
    </row>
    <row r="37" spans="1:75">
      <c r="A37" t="str">
        <v>10i</v>
      </c>
      <c r="B37" t="str">
        <v>P_10i</v>
      </c>
      <c r="C37" t="str">
        <v>direct</v>
      </c>
      <c r="D37" s="10">
        <v>1392662</v>
      </c>
      <c r="E37" s="10">
        <v>1309102.28</v>
      </c>
      <c r="F37" s="10">
        <v>2900</v>
      </c>
      <c r="G37" s="10">
        <v>0</v>
      </c>
      <c r="H37" s="10">
        <v>0</v>
      </c>
      <c r="I37" s="10">
        <v>431725.22</v>
      </c>
      <c r="J37" s="10">
        <v>0</v>
      </c>
      <c r="K37" s="10">
        <v>1392662</v>
      </c>
      <c r="L37" s="10">
        <v>1309102.28</v>
      </c>
      <c r="M37" s="10">
        <v>2900</v>
      </c>
      <c r="N37" s="10">
        <v>0</v>
      </c>
      <c r="O37" s="10">
        <v>0</v>
      </c>
      <c r="P37" s="10">
        <v>431725.22</v>
      </c>
      <c r="Q37" s="10">
        <v>0</v>
      </c>
      <c r="S37" t="str">
        <v>P_10i</v>
      </c>
      <c r="T37" t="str">
        <v>P</v>
      </c>
      <c r="U37" t="str">
        <v>10i</v>
      </c>
      <c r="W37" s="10">
        <v>1392662</v>
      </c>
      <c r="X37" s="10">
        <v>1309102.28</v>
      </c>
      <c r="Y37" s="10">
        <v>2900</v>
      </c>
      <c r="Z37" s="10">
        <v>0</v>
      </c>
      <c r="AA37" s="10">
        <v>0</v>
      </c>
      <c r="AB37" s="10">
        <v>431725.22</v>
      </c>
      <c r="AC37" s="10">
        <v>0</v>
      </c>
      <c r="AD37" s="10">
        <v>1392662</v>
      </c>
      <c r="AE37" s="10">
        <v>1309102.28</v>
      </c>
      <c r="AF37" s="10">
        <v>2900</v>
      </c>
      <c r="AG37" s="10">
        <v>0</v>
      </c>
      <c r="AH37" s="10">
        <v>0</v>
      </c>
      <c r="AI37" s="10">
        <v>431725.22</v>
      </c>
      <c r="AJ37" s="10">
        <v>0</v>
      </c>
      <c r="AL37" s="10">
        <v>1392662</v>
      </c>
      <c r="AM37" s="10">
        <v>1309102.28</v>
      </c>
      <c r="AN37" s="10">
        <v>2900</v>
      </c>
      <c r="AO37" s="10">
        <v>0</v>
      </c>
      <c r="AP37" s="10">
        <v>0</v>
      </c>
      <c r="AQ37" s="10">
        <v>431725.22</v>
      </c>
      <c r="AR37" s="10">
        <v>0</v>
      </c>
      <c r="AS37" s="10">
        <v>1392662</v>
      </c>
      <c r="AT37" s="10">
        <v>1309102.28</v>
      </c>
      <c r="AU37" s="10">
        <v>2900</v>
      </c>
      <c r="AV37" s="10">
        <v>0</v>
      </c>
      <c r="AW37" s="10">
        <v>0</v>
      </c>
      <c r="AX37" s="10">
        <v>431725.22</v>
      </c>
      <c r="AY37" s="10">
        <v>0</v>
      </c>
      <c r="BA37" s="11">
        <v>1392662</v>
      </c>
      <c r="BB37" s="11">
        <v>431725.22</v>
      </c>
      <c r="BC37" s="11">
        <v>1392662</v>
      </c>
      <c r="BD37" s="11">
        <v>431725.22</v>
      </c>
      <c r="BE37" s="11">
        <v>1392662</v>
      </c>
      <c r="BF37" s="11">
        <v>431725.22</v>
      </c>
      <c r="BG37" s="11">
        <v>1392662</v>
      </c>
      <c r="BH37" s="11">
        <v>431725.22</v>
      </c>
      <c r="BI37" s="11"/>
      <c r="BJ37" s="11">
        <v>1392662</v>
      </c>
      <c r="BK37" s="11">
        <v>431725.22</v>
      </c>
      <c r="BM37" t="s">
        <v>54</v>
      </c>
      <c r="BN37" s="9">
        <v>0.128</v>
      </c>
      <c r="BO37" s="9">
        <v>0.10100000000000001</v>
      </c>
      <c r="BP37" s="9"/>
      <c r="BQ37" s="72">
        <v>0.128</v>
      </c>
      <c r="BR37" s="72">
        <v>0.10100000000000001</v>
      </c>
      <c r="BS37" s="10">
        <v>203595.54409919615</v>
      </c>
      <c r="BT37" s="11">
        <v>1824387.22</v>
      </c>
      <c r="BU37" s="22">
        <v>0.11159667304575624</v>
      </c>
      <c r="BV37" s="11">
        <v>1824387.22</v>
      </c>
      <c r="BW37" s="10">
        <v>203595.54409919615</v>
      </c>
    </row>
    <row r="38" spans="1:75">
      <c r="A38" t="str">
        <v>10ii</v>
      </c>
      <c r="B38" t="str">
        <v>D_10ii</v>
      </c>
      <c r="C38" t="str">
        <v>intermediated</v>
      </c>
      <c r="D38" s="10">
        <v>2479467.6500000004</v>
      </c>
      <c r="E38" s="10">
        <v>2801798.4444999998</v>
      </c>
      <c r="F38" s="10">
        <v>1925.0000000000002</v>
      </c>
      <c r="G38" s="10">
        <v>0</v>
      </c>
      <c r="H38" s="10">
        <v>0</v>
      </c>
      <c r="I38" s="10">
        <v>966992.38350000011</v>
      </c>
      <c r="J38" s="10">
        <v>0</v>
      </c>
      <c r="K38" s="10">
        <v>2479467.6500000004</v>
      </c>
      <c r="L38" s="10">
        <v>2801798.4444999998</v>
      </c>
      <c r="M38" s="10">
        <v>1925.0000000000002</v>
      </c>
      <c r="N38" s="10">
        <v>0</v>
      </c>
      <c r="O38" s="10">
        <v>0</v>
      </c>
      <c r="P38" s="10">
        <v>966992.38350000011</v>
      </c>
      <c r="Q38" s="10">
        <v>0</v>
      </c>
      <c r="S38" t="str">
        <v>D_10ii</v>
      </c>
      <c r="T38" t="str">
        <v>D</v>
      </c>
      <c r="U38" t="str">
        <v>10ii</v>
      </c>
      <c r="W38" s="10">
        <v>4508123</v>
      </c>
      <c r="X38" s="10">
        <v>5094178.9899999993</v>
      </c>
      <c r="Y38" s="10">
        <v>3500</v>
      </c>
      <c r="Z38" s="10">
        <v>0</v>
      </c>
      <c r="AA38" s="10">
        <v>0</v>
      </c>
      <c r="AB38" s="10">
        <v>1758167.97</v>
      </c>
      <c r="AC38" s="10">
        <v>0</v>
      </c>
      <c r="AD38" s="10">
        <v>2254061.5</v>
      </c>
      <c r="AE38" s="10">
        <v>2547089.4949999996</v>
      </c>
      <c r="AF38" s="10">
        <v>1750</v>
      </c>
      <c r="AG38" s="10">
        <v>0</v>
      </c>
      <c r="AH38" s="10">
        <v>0</v>
      </c>
      <c r="AI38" s="10">
        <v>879083.98499999999</v>
      </c>
      <c r="AJ38" s="10">
        <v>0</v>
      </c>
      <c r="AL38" s="10">
        <v>2479467.6500000004</v>
      </c>
      <c r="AM38" s="10">
        <v>2801798.4444999998</v>
      </c>
      <c r="AN38" s="10">
        <v>1925.0000000000002</v>
      </c>
      <c r="AO38" s="10">
        <v>0</v>
      </c>
      <c r="AP38" s="10">
        <v>0</v>
      </c>
      <c r="AQ38" s="10">
        <v>966992.38350000011</v>
      </c>
      <c r="AR38" s="10">
        <v>0</v>
      </c>
      <c r="AS38" s="10">
        <v>2479467.6500000004</v>
      </c>
      <c r="AT38" s="10">
        <v>2801798.4444999998</v>
      </c>
      <c r="AU38" s="10">
        <v>1925.0000000000002</v>
      </c>
      <c r="AV38" s="10">
        <v>0</v>
      </c>
      <c r="AW38" s="10">
        <v>0</v>
      </c>
      <c r="AX38" s="10">
        <v>966992.38350000011</v>
      </c>
      <c r="AY38" s="10">
        <v>0</v>
      </c>
      <c r="BA38" s="11">
        <v>5094178.9899999993</v>
      </c>
      <c r="BB38" s="11">
        <v>1758167.97</v>
      </c>
      <c r="BC38" s="11">
        <v>2547089.4949999996</v>
      </c>
      <c r="BD38" s="11">
        <v>879083.98499999999</v>
      </c>
      <c r="BE38" s="11">
        <v>2801798.4444999998</v>
      </c>
      <c r="BF38" s="11">
        <v>966992.38350000011</v>
      </c>
      <c r="BG38" s="11">
        <v>2801798.4444999998</v>
      </c>
      <c r="BH38" s="11">
        <v>966992.38350000011</v>
      </c>
      <c r="BI38" s="11"/>
      <c r="BJ38" s="11">
        <v>2801798.4444999998</v>
      </c>
      <c r="BK38" s="11">
        <v>966992.38350000011</v>
      </c>
      <c r="BM38" t="s">
        <v>55</v>
      </c>
      <c r="BN38" s="9">
        <v>0.128</v>
      </c>
      <c r="BO38" s="9">
        <v>0.10100000000000001</v>
      </c>
      <c r="BP38" s="9"/>
      <c r="BQ38" s="72">
        <v>0.128</v>
      </c>
      <c r="BR38" s="72">
        <v>0.10100000000000001</v>
      </c>
      <c r="BS38" s="10">
        <v>416149.46061373764</v>
      </c>
      <c r="BT38" s="11">
        <v>3768790.8279999997</v>
      </c>
      <c r="BU38" s="22">
        <v>0.11041988786482412</v>
      </c>
      <c r="BV38" s="11">
        <v>3768790.8279999997</v>
      </c>
      <c r="BW38" s="10">
        <v>416149.46061373764</v>
      </c>
    </row>
    <row r="39" spans="1:75">
      <c r="A39" t="str">
        <v>10iii</v>
      </c>
      <c r="B39" t="str">
        <v>D_10iii</v>
      </c>
      <c r="C39" t="str">
        <v>specialised</v>
      </c>
      <c r="D39" s="10">
        <v>-25189</v>
      </c>
      <c r="E39" s="10">
        <v>-12058941</v>
      </c>
      <c r="F39" s="10">
        <v>2100</v>
      </c>
      <c r="G39" s="10">
        <v>59321</v>
      </c>
      <c r="H39" s="10">
        <v>45236</v>
      </c>
      <c r="I39" s="10">
        <v>855570.69000000006</v>
      </c>
      <c r="J39" s="10">
        <v>0</v>
      </c>
      <c r="K39" s="10">
        <v>-25189</v>
      </c>
      <c r="L39" s="10">
        <v>-12058941</v>
      </c>
      <c r="M39" s="10">
        <v>2100</v>
      </c>
      <c r="N39" s="10">
        <v>59321</v>
      </c>
      <c r="O39" s="10">
        <v>45236</v>
      </c>
      <c r="P39" s="10">
        <v>855570.69000000006</v>
      </c>
      <c r="Q39" s="10">
        <v>0</v>
      </c>
      <c r="S39" t="str">
        <v>D_10iii</v>
      </c>
      <c r="T39" t="str">
        <v>D</v>
      </c>
      <c r="U39" t="str">
        <v>10iii</v>
      </c>
      <c r="W39" s="10">
        <v>-25189</v>
      </c>
      <c r="X39" s="10">
        <v>-12058941</v>
      </c>
      <c r="Y39" s="10">
        <v>2100</v>
      </c>
      <c r="Z39" s="10">
        <v>59321</v>
      </c>
      <c r="AA39" s="10">
        <v>45236</v>
      </c>
      <c r="AB39" s="10">
        <v>855570.69000000006</v>
      </c>
      <c r="AC39" s="10">
        <v>0</v>
      </c>
      <c r="AD39" s="10">
        <v>2193771</v>
      </c>
      <c r="AE39" s="10">
        <v>2084082.45</v>
      </c>
      <c r="AF39" s="10">
        <v>2100</v>
      </c>
      <c r="AG39" s="10">
        <v>0</v>
      </c>
      <c r="AH39" s="10">
        <v>0</v>
      </c>
      <c r="AI39" s="10">
        <v>855570.69000000006</v>
      </c>
      <c r="AJ39" s="10">
        <v>0</v>
      </c>
      <c r="AL39" s="10">
        <v>-25189</v>
      </c>
      <c r="AM39" s="10">
        <v>-12058941</v>
      </c>
      <c r="AN39" s="10">
        <v>2100</v>
      </c>
      <c r="AO39" s="10">
        <v>59321</v>
      </c>
      <c r="AP39" s="10">
        <v>45236</v>
      </c>
      <c r="AQ39" s="10">
        <v>855570.69000000006</v>
      </c>
      <c r="AR39" s="10">
        <v>0</v>
      </c>
      <c r="AS39" s="10">
        <v>-25189</v>
      </c>
      <c r="AT39" s="10">
        <v>-12058941</v>
      </c>
      <c r="AU39" s="10">
        <v>2100</v>
      </c>
      <c r="AV39" s="10">
        <v>59321</v>
      </c>
      <c r="AW39" s="10">
        <v>45236</v>
      </c>
      <c r="AX39" s="10">
        <v>855570.69000000006</v>
      </c>
      <c r="AY39" s="10">
        <v>0</v>
      </c>
      <c r="BA39" s="11">
        <v>79368</v>
      </c>
      <c r="BB39" s="11">
        <v>855570.69000000006</v>
      </c>
      <c r="BC39" s="11">
        <v>2193771</v>
      </c>
      <c r="BD39" s="11">
        <v>855570.69000000006</v>
      </c>
      <c r="BE39" s="11">
        <v>79368</v>
      </c>
      <c r="BF39" s="11">
        <v>855570.69000000006</v>
      </c>
      <c r="BG39" s="11">
        <v>79368</v>
      </c>
      <c r="BH39" s="11">
        <v>855570.69000000006</v>
      </c>
      <c r="BI39" s="11"/>
      <c r="BJ39" s="11">
        <v>79368</v>
      </c>
      <c r="BK39" s="11">
        <v>855570.69000000006</v>
      </c>
      <c r="BM39" t="s">
        <v>56</v>
      </c>
      <c r="BN39" s="9">
        <v>0.128</v>
      </c>
      <c r="BO39" s="9">
        <v>0.10100000000000001</v>
      </c>
      <c r="BP39" s="9"/>
      <c r="BQ39" s="72">
        <v>0.128</v>
      </c>
      <c r="BR39" s="72">
        <v>0.10100000000000001</v>
      </c>
      <c r="BS39" s="10">
        <v>91914.235490493098</v>
      </c>
      <c r="BT39" s="11">
        <v>934938.69000000006</v>
      </c>
      <c r="BU39" s="22">
        <v>9.8310441608201168E-2</v>
      </c>
      <c r="BV39" s="11">
        <v>934938.69000000006</v>
      </c>
      <c r="BW39" s="10">
        <v>91914.235490493098</v>
      </c>
    </row>
    <row r="40" spans="1:75">
      <c r="A40" t="str">
        <v>10iv</v>
      </c>
      <c r="B40" t="str">
        <v>D_10iv</v>
      </c>
      <c r="C40" t="str">
        <v>direct</v>
      </c>
      <c r="D40" s="10">
        <v>3224030</v>
      </c>
      <c r="E40" s="10">
        <v>3546433.0000000005</v>
      </c>
      <c r="F40" s="10">
        <v>2900</v>
      </c>
      <c r="G40" s="10">
        <v>0</v>
      </c>
      <c r="H40" s="10">
        <v>0</v>
      </c>
      <c r="I40" s="10">
        <v>1096170.2000000002</v>
      </c>
      <c r="J40" s="10">
        <v>0</v>
      </c>
      <c r="K40" s="10">
        <v>3224030</v>
      </c>
      <c r="L40" s="10">
        <v>3546433.0000000005</v>
      </c>
      <c r="M40" s="10">
        <v>2900</v>
      </c>
      <c r="N40" s="10">
        <v>0</v>
      </c>
      <c r="O40" s="10">
        <v>0</v>
      </c>
      <c r="P40" s="10">
        <v>1096170.2000000002</v>
      </c>
      <c r="Q40" s="10">
        <v>0</v>
      </c>
      <c r="S40" t="str">
        <v>D_10iv</v>
      </c>
      <c r="T40" t="str">
        <v>D</v>
      </c>
      <c r="U40" t="str">
        <v>10iv</v>
      </c>
      <c r="W40" s="10">
        <v>3224030</v>
      </c>
      <c r="X40" s="10">
        <v>3546433.0000000005</v>
      </c>
      <c r="Y40" s="10">
        <v>2900</v>
      </c>
      <c r="Z40" s="10">
        <v>0</v>
      </c>
      <c r="AA40" s="10">
        <v>0</v>
      </c>
      <c r="AB40" s="10">
        <v>1096170.2000000002</v>
      </c>
      <c r="AC40" s="10">
        <v>0</v>
      </c>
      <c r="AD40" s="10">
        <v>3224030</v>
      </c>
      <c r="AE40" s="10">
        <v>3546433.0000000005</v>
      </c>
      <c r="AF40" s="10">
        <v>2900</v>
      </c>
      <c r="AG40" s="10">
        <v>0</v>
      </c>
      <c r="AH40" s="10">
        <v>0</v>
      </c>
      <c r="AI40" s="10">
        <v>1096170.2000000002</v>
      </c>
      <c r="AJ40" s="10">
        <v>0</v>
      </c>
      <c r="AL40" s="10">
        <v>3224030</v>
      </c>
      <c r="AM40" s="10">
        <v>3546433.0000000005</v>
      </c>
      <c r="AN40" s="10">
        <v>2900</v>
      </c>
      <c r="AO40" s="10">
        <v>0</v>
      </c>
      <c r="AP40" s="10">
        <v>0</v>
      </c>
      <c r="AQ40" s="10">
        <v>1096170.2000000002</v>
      </c>
      <c r="AR40" s="10">
        <v>0</v>
      </c>
      <c r="AS40" s="10">
        <v>3224030</v>
      </c>
      <c r="AT40" s="10">
        <v>3546433.0000000005</v>
      </c>
      <c r="AU40" s="10">
        <v>2900</v>
      </c>
      <c r="AV40" s="10">
        <v>0</v>
      </c>
      <c r="AW40" s="10">
        <v>0</v>
      </c>
      <c r="AX40" s="10">
        <v>1096170.2000000002</v>
      </c>
      <c r="AY40" s="10">
        <v>0</v>
      </c>
      <c r="BA40" s="11">
        <v>3546433.0000000005</v>
      </c>
      <c r="BB40" s="11">
        <v>1096170.2000000002</v>
      </c>
      <c r="BC40" s="11">
        <v>3546433.0000000005</v>
      </c>
      <c r="BD40" s="11">
        <v>1096170.2000000002</v>
      </c>
      <c r="BE40" s="11">
        <v>3546433.0000000005</v>
      </c>
      <c r="BF40" s="11">
        <v>1096170.2000000002</v>
      </c>
      <c r="BG40" s="11">
        <v>3546433.0000000005</v>
      </c>
      <c r="BH40" s="11">
        <v>1096170.2000000002</v>
      </c>
      <c r="BI40" s="11"/>
      <c r="BJ40" s="11">
        <v>3546433.0000000005</v>
      </c>
      <c r="BK40" s="11">
        <v>1096170.2000000002</v>
      </c>
      <c r="BM40" t="s">
        <v>57</v>
      </c>
      <c r="BN40" s="9">
        <v>0.128</v>
      </c>
      <c r="BO40" s="9">
        <v>0.10100000000000001</v>
      </c>
      <c r="BP40" s="9"/>
      <c r="BQ40" s="72">
        <v>0.128</v>
      </c>
      <c r="BR40" s="72">
        <v>0.10100000000000001</v>
      </c>
      <c r="BS40" s="10">
        <v>518246.62788913201</v>
      </c>
      <c r="BT40" s="11">
        <v>4642603.2000000011</v>
      </c>
      <c r="BU40" s="22">
        <v>0.11162845618361955</v>
      </c>
      <c r="BV40" s="11">
        <v>4642603.2000000011</v>
      </c>
      <c r="BW40" s="10">
        <v>518246.62788913207</v>
      </c>
    </row>
    <row r="41" spans="1:75">
      <c r="A41" t="str">
        <v>10v</v>
      </c>
      <c r="B41" t="str">
        <v>D_10v</v>
      </c>
      <c r="C41" t="str">
        <v>direct</v>
      </c>
      <c r="D41" s="10">
        <v>1179993</v>
      </c>
      <c r="E41" s="10">
        <v>1262592.51</v>
      </c>
      <c r="F41" s="10">
        <v>2900</v>
      </c>
      <c r="G41" s="10">
        <v>0</v>
      </c>
      <c r="H41" s="10">
        <v>0</v>
      </c>
      <c r="I41" s="10">
        <v>401197.62000000005</v>
      </c>
      <c r="J41" s="10">
        <v>0</v>
      </c>
      <c r="K41" s="10">
        <v>1179993</v>
      </c>
      <c r="L41" s="10">
        <v>1262592.51</v>
      </c>
      <c r="M41" s="10">
        <v>2900</v>
      </c>
      <c r="N41" s="10">
        <v>0</v>
      </c>
      <c r="O41" s="10">
        <v>0</v>
      </c>
      <c r="P41" s="10">
        <v>401197.62000000005</v>
      </c>
      <c r="Q41" s="10">
        <v>0</v>
      </c>
      <c r="S41" t="str">
        <v>D_10v</v>
      </c>
      <c r="T41" t="str">
        <v>D</v>
      </c>
      <c r="U41" t="str">
        <v>10v</v>
      </c>
      <c r="W41" s="10">
        <v>1179993</v>
      </c>
      <c r="X41" s="10">
        <v>1262592.51</v>
      </c>
      <c r="Y41" s="10">
        <v>2900</v>
      </c>
      <c r="Z41" s="10">
        <v>0</v>
      </c>
      <c r="AA41" s="10">
        <v>0</v>
      </c>
      <c r="AB41" s="10">
        <v>401197.62000000005</v>
      </c>
      <c r="AC41" s="10">
        <v>0</v>
      </c>
      <c r="AD41" s="10">
        <v>1179993</v>
      </c>
      <c r="AE41" s="10">
        <v>1262592.51</v>
      </c>
      <c r="AF41" s="10">
        <v>2900</v>
      </c>
      <c r="AG41" s="10">
        <v>0</v>
      </c>
      <c r="AH41" s="10">
        <v>0</v>
      </c>
      <c r="AI41" s="10">
        <v>401197.62000000005</v>
      </c>
      <c r="AJ41" s="10">
        <v>0</v>
      </c>
      <c r="AL41" s="10">
        <v>1179993</v>
      </c>
      <c r="AM41" s="10">
        <v>1262592.51</v>
      </c>
      <c r="AN41" s="10">
        <v>2900</v>
      </c>
      <c r="AO41" s="10">
        <v>0</v>
      </c>
      <c r="AP41" s="10">
        <v>0</v>
      </c>
      <c r="AQ41" s="10">
        <v>401197.62000000005</v>
      </c>
      <c r="AR41" s="10">
        <v>0</v>
      </c>
      <c r="AS41" s="10">
        <v>1179993</v>
      </c>
      <c r="AT41" s="10">
        <v>1262592.51</v>
      </c>
      <c r="AU41" s="10">
        <v>2900</v>
      </c>
      <c r="AV41" s="10">
        <v>0</v>
      </c>
      <c r="AW41" s="10">
        <v>0</v>
      </c>
      <c r="AX41" s="10">
        <v>401197.62000000005</v>
      </c>
      <c r="AY41" s="10">
        <v>0</v>
      </c>
      <c r="BA41" s="11">
        <v>1262592.51</v>
      </c>
      <c r="BB41" s="11">
        <v>401197.62000000005</v>
      </c>
      <c r="BC41" s="11">
        <v>1262592.51</v>
      </c>
      <c r="BD41" s="11">
        <v>401197.62000000005</v>
      </c>
      <c r="BE41" s="11">
        <v>1262592.51</v>
      </c>
      <c r="BF41" s="11">
        <v>401197.62000000005</v>
      </c>
      <c r="BG41" s="11">
        <v>1262592.51</v>
      </c>
      <c r="BH41" s="11">
        <v>401197.62000000005</v>
      </c>
      <c r="BI41" s="11"/>
      <c r="BJ41" s="11">
        <v>1262592.51</v>
      </c>
      <c r="BK41" s="11">
        <v>401197.62000000005</v>
      </c>
      <c r="BM41" t="s">
        <v>58</v>
      </c>
      <c r="BN41" s="9">
        <v>0.128</v>
      </c>
      <c r="BO41" s="9">
        <v>0.10100000000000001</v>
      </c>
      <c r="BP41" s="9"/>
      <c r="BQ41" s="72">
        <v>0.128</v>
      </c>
      <c r="BR41" s="72">
        <v>0.10100000000000001</v>
      </c>
      <c r="BS41" s="10">
        <v>185226.89411923505</v>
      </c>
      <c r="BT41" s="11">
        <v>1663790.1300000001</v>
      </c>
      <c r="BU41" s="22">
        <v>0.11132828039990539</v>
      </c>
      <c r="BV41" s="11">
        <v>1663790.1300000001</v>
      </c>
      <c r="BW41" s="10">
        <v>185226.89411923505</v>
      </c>
    </row>
    <row r="42" spans="1:75">
      <c r="A42" t="str">
        <v>10vi</v>
      </c>
      <c r="B42" t="str">
        <v>P_10vi</v>
      </c>
      <c r="C42" t="str">
        <v>intermediated</v>
      </c>
      <c r="D42" s="10">
        <v>1836364.7500000002</v>
      </c>
      <c r="E42" s="10">
        <v>1707819.2175000003</v>
      </c>
      <c r="F42" s="10">
        <v>1925.0000000000002</v>
      </c>
      <c r="G42" s="10">
        <v>0</v>
      </c>
      <c r="H42" s="10">
        <v>0</v>
      </c>
      <c r="I42" s="10">
        <v>495818.48250000004</v>
      </c>
      <c r="J42" s="10">
        <v>0</v>
      </c>
      <c r="K42" s="10">
        <v>1836364.7500000002</v>
      </c>
      <c r="L42" s="10">
        <v>1707819.2175000003</v>
      </c>
      <c r="M42" s="10">
        <v>1925.0000000000002</v>
      </c>
      <c r="N42" s="10">
        <v>0</v>
      </c>
      <c r="O42" s="10">
        <v>0</v>
      </c>
      <c r="P42" s="10">
        <v>495818.48250000004</v>
      </c>
      <c r="Q42" s="10">
        <v>0</v>
      </c>
      <c r="S42" t="str">
        <v>P_10vi</v>
      </c>
      <c r="T42" t="str">
        <v>P</v>
      </c>
      <c r="U42" t="str">
        <v>10vi</v>
      </c>
      <c r="W42" s="10">
        <v>3338845</v>
      </c>
      <c r="X42" s="10">
        <v>3105125.85</v>
      </c>
      <c r="Y42" s="10">
        <v>3500</v>
      </c>
      <c r="Z42" s="10">
        <v>0</v>
      </c>
      <c r="AA42" s="10">
        <v>0</v>
      </c>
      <c r="AB42" s="10">
        <v>901488.15</v>
      </c>
      <c r="AC42" s="10">
        <v>0</v>
      </c>
      <c r="AD42" s="10">
        <v>1669422.5</v>
      </c>
      <c r="AE42" s="10">
        <v>1552562.925</v>
      </c>
      <c r="AF42" s="10">
        <v>1750</v>
      </c>
      <c r="AG42" s="10">
        <v>0</v>
      </c>
      <c r="AH42" s="10">
        <v>0</v>
      </c>
      <c r="AI42" s="10">
        <v>450744.07500000001</v>
      </c>
      <c r="AJ42" s="10">
        <v>0</v>
      </c>
      <c r="AL42" s="10">
        <v>1836364.7500000002</v>
      </c>
      <c r="AM42" s="10">
        <v>1707819.2175000003</v>
      </c>
      <c r="AN42" s="10">
        <v>1925.0000000000002</v>
      </c>
      <c r="AO42" s="10">
        <v>0</v>
      </c>
      <c r="AP42" s="10">
        <v>0</v>
      </c>
      <c r="AQ42" s="10">
        <v>495818.48250000004</v>
      </c>
      <c r="AR42" s="10">
        <v>0</v>
      </c>
      <c r="AS42" s="10">
        <v>1836364.7500000002</v>
      </c>
      <c r="AT42" s="10">
        <v>1707819.2175000003</v>
      </c>
      <c r="AU42" s="10">
        <v>1925.0000000000002</v>
      </c>
      <c r="AV42" s="10">
        <v>0</v>
      </c>
      <c r="AW42" s="10">
        <v>0</v>
      </c>
      <c r="AX42" s="10">
        <v>495818.48250000004</v>
      </c>
      <c r="AY42" s="10">
        <v>0</v>
      </c>
      <c r="BA42" s="11">
        <v>3338845</v>
      </c>
      <c r="BB42" s="11">
        <v>901488.15</v>
      </c>
      <c r="BC42" s="11">
        <v>1669422.5</v>
      </c>
      <c r="BD42" s="11">
        <v>450744.07500000001</v>
      </c>
      <c r="BE42" s="11">
        <v>1836364.7500000002</v>
      </c>
      <c r="BF42" s="11">
        <v>495818.48250000004</v>
      </c>
      <c r="BG42" s="11">
        <v>1836364.7500000002</v>
      </c>
      <c r="BH42" s="11">
        <v>495818.48250000004</v>
      </c>
      <c r="BI42" s="11"/>
      <c r="BJ42" s="11">
        <v>1836364.7500000002</v>
      </c>
      <c r="BK42" s="11">
        <v>495818.48250000004</v>
      </c>
      <c r="BM42" t="s">
        <v>59</v>
      </c>
      <c r="BN42" s="9">
        <v>0.128</v>
      </c>
      <c r="BO42" s="9">
        <v>0.10100000000000001</v>
      </c>
      <c r="BP42" s="9"/>
      <c r="BQ42" s="72">
        <v>0.128</v>
      </c>
      <c r="BR42" s="72">
        <v>0.10100000000000001</v>
      </c>
      <c r="BS42" s="10">
        <v>263684.41248152015</v>
      </c>
      <c r="BT42" s="11">
        <v>2332183.2325000004</v>
      </c>
      <c r="BU42" s="22">
        <v>0.11306333430708262</v>
      </c>
      <c r="BV42" s="11">
        <v>2332183.2325000004</v>
      </c>
      <c r="BW42" s="10">
        <v>263684.41248152015</v>
      </c>
    </row>
    <row r="43" spans="1:75">
      <c r="A43" t="str">
        <v>10vii</v>
      </c>
      <c r="B43" t="str">
        <v>D_10vii</v>
      </c>
      <c r="C43" t="str">
        <v>specialised</v>
      </c>
      <c r="D43" s="10">
        <v>1129942</v>
      </c>
      <c r="E43" s="10">
        <v>1152540.8400000001</v>
      </c>
      <c r="F43" s="10">
        <v>2900</v>
      </c>
      <c r="G43" s="10">
        <v>0</v>
      </c>
      <c r="H43" s="10">
        <v>0</v>
      </c>
      <c r="I43" s="10">
        <v>406779.12</v>
      </c>
      <c r="J43" s="10">
        <v>0</v>
      </c>
      <c r="K43" s="10">
        <v>1129942</v>
      </c>
      <c r="L43" s="10">
        <v>1152540.8400000001</v>
      </c>
      <c r="M43" s="10">
        <v>2900</v>
      </c>
      <c r="N43" s="10">
        <v>0</v>
      </c>
      <c r="O43" s="10">
        <v>0</v>
      </c>
      <c r="P43" s="10">
        <v>406779.12</v>
      </c>
      <c r="Q43" s="10">
        <v>0</v>
      </c>
      <c r="S43" t="str">
        <v>D_10vii</v>
      </c>
      <c r="T43" t="str">
        <v>D</v>
      </c>
      <c r="U43" t="str">
        <v>10vii</v>
      </c>
      <c r="W43" s="10">
        <v>1129942</v>
      </c>
      <c r="X43" s="10">
        <v>1152540.8400000001</v>
      </c>
      <c r="Y43" s="10">
        <v>2900</v>
      </c>
      <c r="Z43" s="10">
        <v>0</v>
      </c>
      <c r="AA43" s="10">
        <v>0</v>
      </c>
      <c r="AB43" s="10">
        <v>406779.12</v>
      </c>
      <c r="AC43" s="10">
        <v>0</v>
      </c>
      <c r="AD43" s="10">
        <v>1129942</v>
      </c>
      <c r="AE43" s="10">
        <v>1152540.8400000001</v>
      </c>
      <c r="AF43" s="10">
        <v>2900</v>
      </c>
      <c r="AG43" s="10">
        <v>0</v>
      </c>
      <c r="AH43" s="10">
        <v>0</v>
      </c>
      <c r="AI43" s="10">
        <v>406779.12</v>
      </c>
      <c r="AJ43" s="10">
        <v>0</v>
      </c>
      <c r="AL43" s="10">
        <v>1129942</v>
      </c>
      <c r="AM43" s="10">
        <v>1152540.8400000001</v>
      </c>
      <c r="AN43" s="10">
        <v>2900</v>
      </c>
      <c r="AO43" s="10">
        <v>0</v>
      </c>
      <c r="AP43" s="10">
        <v>0</v>
      </c>
      <c r="AQ43" s="10">
        <v>406779.12</v>
      </c>
      <c r="AR43" s="10">
        <v>0</v>
      </c>
      <c r="AS43" s="10">
        <v>1129942</v>
      </c>
      <c r="AT43" s="10">
        <v>1152540.8400000001</v>
      </c>
      <c r="AU43" s="10">
        <v>2900</v>
      </c>
      <c r="AV43" s="10">
        <v>0</v>
      </c>
      <c r="AW43" s="10">
        <v>0</v>
      </c>
      <c r="AX43" s="10">
        <v>406779.12</v>
      </c>
      <c r="AY43" s="10">
        <v>0</v>
      </c>
      <c r="BA43" s="11">
        <v>1152540.8400000001</v>
      </c>
      <c r="BB43" s="11">
        <v>406779.12</v>
      </c>
      <c r="BC43" s="11">
        <v>1152540.8400000001</v>
      </c>
      <c r="BD43" s="11">
        <v>406779.12</v>
      </c>
      <c r="BE43" s="11">
        <v>1152540.8400000001</v>
      </c>
      <c r="BF43" s="11">
        <v>406779.12</v>
      </c>
      <c r="BG43" s="11">
        <v>1152540.8400000001</v>
      </c>
      <c r="BH43" s="11">
        <v>406779.12</v>
      </c>
      <c r="BI43" s="11"/>
      <c r="BJ43" s="11">
        <v>1152540.8400000001</v>
      </c>
      <c r="BK43" s="11">
        <v>406779.12</v>
      </c>
      <c r="BM43" t="s">
        <v>60</v>
      </c>
      <c r="BN43" s="9">
        <v>0.128</v>
      </c>
      <c r="BO43" s="9">
        <v>0.10100000000000001</v>
      </c>
      <c r="BP43" s="9"/>
      <c r="BQ43" s="72">
        <v>0.128</v>
      </c>
      <c r="BR43" s="72">
        <v>0.10100000000000001</v>
      </c>
      <c r="BS43" s="10">
        <v>171792.52895373682</v>
      </c>
      <c r="BT43" s="11">
        <v>1559319.96</v>
      </c>
      <c r="BU43" s="22">
        <v>0.11017144227008857</v>
      </c>
      <c r="BV43" s="11">
        <v>1559319.96</v>
      </c>
      <c r="BW43" s="10">
        <v>171792.52895373682</v>
      </c>
    </row>
    <row r="44" spans="1:75">
      <c r="A44" t="str">
        <v>18b</v>
      </c>
      <c r="B44" t="str">
        <v>NP_18b</v>
      </c>
      <c r="C44" t="str">
        <v>direct</v>
      </c>
      <c r="D44" s="10">
        <v>1513194.94</v>
      </c>
      <c r="E44" s="10">
        <v>1331611.5471999999</v>
      </c>
      <c r="F44" s="10">
        <v>2494</v>
      </c>
      <c r="G44" s="10">
        <v>0</v>
      </c>
      <c r="H44" s="10">
        <v>0</v>
      </c>
      <c r="I44" s="10">
        <v>620409.92539999995</v>
      </c>
      <c r="J44" s="10">
        <v>0</v>
      </c>
      <c r="K44" s="10">
        <v>1513194.94</v>
      </c>
      <c r="L44" s="10">
        <v>1331611.5471999999</v>
      </c>
      <c r="M44" s="10">
        <v>2494</v>
      </c>
      <c r="N44" s="10">
        <v>0</v>
      </c>
      <c r="O44" s="10">
        <v>0</v>
      </c>
      <c r="P44" s="10">
        <v>620409.92539999995</v>
      </c>
      <c r="Q44" s="10">
        <v>0</v>
      </c>
      <c r="S44" t="str">
        <v>NP_18b</v>
      </c>
      <c r="T44" t="str">
        <v>NP</v>
      </c>
      <c r="U44" t="str">
        <v>18b</v>
      </c>
      <c r="W44" s="10">
        <v>6978969</v>
      </c>
      <c r="X44" s="10">
        <v>6891123.8300000001</v>
      </c>
      <c r="Y44" s="10">
        <v>9900</v>
      </c>
      <c r="Z44" s="10">
        <v>0</v>
      </c>
      <c r="AA44" s="10">
        <v>0</v>
      </c>
      <c r="AB44" s="10">
        <v>2747147.24</v>
      </c>
      <c r="AC44" s="10">
        <v>0</v>
      </c>
      <c r="AD44" s="10">
        <v>6215766.2999999998</v>
      </c>
      <c r="AE44" s="10">
        <v>6149607.1850000005</v>
      </c>
      <c r="AF44" s="10">
        <v>8940</v>
      </c>
      <c r="AG44" s="10">
        <v>0</v>
      </c>
      <c r="AH44" s="10">
        <v>0</v>
      </c>
      <c r="AI44" s="10">
        <v>2454205.0669999998</v>
      </c>
      <c r="AJ44" s="10">
        <v>0</v>
      </c>
      <c r="AL44" s="10">
        <v>6266646.4800000004</v>
      </c>
      <c r="AM44" s="10">
        <v>6199041.6280000005</v>
      </c>
      <c r="AN44" s="10">
        <v>9004</v>
      </c>
      <c r="AO44" s="10">
        <v>0</v>
      </c>
      <c r="AP44" s="10">
        <v>0</v>
      </c>
      <c r="AQ44" s="10">
        <v>2473734.5451999996</v>
      </c>
      <c r="AR44" s="10">
        <v>0</v>
      </c>
      <c r="AS44" s="10">
        <v>6266646.4800000004</v>
      </c>
      <c r="AT44" s="10">
        <v>6199041.6280000005</v>
      </c>
      <c r="AU44" s="10">
        <v>9004</v>
      </c>
      <c r="AV44" s="10">
        <v>0</v>
      </c>
      <c r="AW44" s="10">
        <v>0</v>
      </c>
      <c r="AX44" s="10">
        <v>2473734.5451999996</v>
      </c>
      <c r="AY44" s="10">
        <v>0</v>
      </c>
      <c r="BA44" s="11">
        <v>6978969</v>
      </c>
      <c r="BB44" s="11">
        <v>2747147.24</v>
      </c>
      <c r="BC44" s="11">
        <v>6215766.2999999998</v>
      </c>
      <c r="BD44" s="11">
        <v>2454205.0669999998</v>
      </c>
      <c r="BE44" s="11">
        <v>6266646.4800000004</v>
      </c>
      <c r="BF44" s="11">
        <v>2473734.5451999996</v>
      </c>
      <c r="BG44" s="11">
        <v>6266646.4800000004</v>
      </c>
      <c r="BH44" s="11">
        <v>2473734.5451999996</v>
      </c>
      <c r="BI44" s="11"/>
      <c r="BJ44" s="11">
        <v>6266646.4800000004</v>
      </c>
      <c r="BK44" s="11">
        <v>2473734.5451999996</v>
      </c>
      <c r="BM44" s="57" t="s">
        <v>74</v>
      </c>
      <c r="BN44" s="9">
        <v>0.121</v>
      </c>
      <c r="BO44" s="9">
        <v>0.19700000000000001</v>
      </c>
      <c r="BP44" s="9"/>
      <c r="BQ44" s="72">
        <v>0.17499999999999999</v>
      </c>
      <c r="BR44" s="72">
        <v>0.2</v>
      </c>
      <c r="BS44" s="10">
        <v>1410678.9958328421</v>
      </c>
      <c r="BT44" s="11">
        <v>8740381.0252</v>
      </c>
      <c r="BU44" s="22">
        <v>0.16139788320047094</v>
      </c>
      <c r="BV44" s="11">
        <v>8740381.0252</v>
      </c>
      <c r="BW44" s="10">
        <v>1410678.9958328421</v>
      </c>
    </row>
    <row r="45" spans="1:75">
      <c r="A45" t="str">
        <v>18b</v>
      </c>
      <c r="B45" t="str">
        <v>NP_18b</v>
      </c>
      <c r="C45" t="str">
        <v>direct</v>
      </c>
      <c r="D45" s="10">
        <v>1890951</v>
      </c>
      <c r="E45" s="10">
        <v>1947679.53</v>
      </c>
      <c r="F45" s="10">
        <v>3500</v>
      </c>
      <c r="G45" s="10">
        <v>0</v>
      </c>
      <c r="H45" s="10">
        <v>0</v>
      </c>
      <c r="I45" s="10">
        <v>794199.41999999993</v>
      </c>
      <c r="J45" s="10">
        <v>0</v>
      </c>
      <c r="K45" s="10">
        <v>1890951</v>
      </c>
      <c r="L45" s="10">
        <v>1947679.53</v>
      </c>
      <c r="M45" s="10">
        <v>3500</v>
      </c>
      <c r="N45" s="10">
        <v>0</v>
      </c>
      <c r="O45" s="10">
        <v>0</v>
      </c>
      <c r="P45" s="10">
        <v>794199.41999999993</v>
      </c>
      <c r="Q45" s="10">
        <v>0</v>
      </c>
      <c r="S45" t="str">
        <v>D_13</v>
      </c>
      <c r="T45" t="str">
        <v>D</v>
      </c>
      <c r="U45" t="str">
        <v>13</v>
      </c>
      <c r="W45" s="10">
        <v>2676194</v>
      </c>
      <c r="X45" s="10">
        <v>2917051.4600000004</v>
      </c>
      <c r="Y45" s="10">
        <v>2100</v>
      </c>
      <c r="Z45" s="10">
        <v>0</v>
      </c>
      <c r="AA45" s="10">
        <v>0</v>
      </c>
      <c r="AB45" s="10">
        <v>1043715.66</v>
      </c>
      <c r="AC45" s="10">
        <v>0</v>
      </c>
      <c r="AD45" s="10">
        <v>1338097</v>
      </c>
      <c r="AE45" s="10">
        <v>1458525.7300000002</v>
      </c>
      <c r="AF45" s="10">
        <v>1050</v>
      </c>
      <c r="AG45" s="10">
        <v>0</v>
      </c>
      <c r="AH45" s="10">
        <v>0</v>
      </c>
      <c r="AI45" s="10">
        <v>521857.83</v>
      </c>
      <c r="AJ45" s="10">
        <v>0</v>
      </c>
      <c r="AL45" s="10">
        <v>1471906.7000000002</v>
      </c>
      <c r="AM45" s="10">
        <v>1604378.3030000003</v>
      </c>
      <c r="AN45" s="10">
        <v>1155</v>
      </c>
      <c r="AO45" s="10">
        <v>0</v>
      </c>
      <c r="AP45" s="10">
        <v>0</v>
      </c>
      <c r="AQ45" s="10">
        <v>574043.61300000001</v>
      </c>
      <c r="AR45" s="10">
        <v>0</v>
      </c>
      <c r="AS45" s="10">
        <v>1471906.7000000002</v>
      </c>
      <c r="AT45" s="10">
        <v>1604378.3030000003</v>
      </c>
      <c r="AU45" s="10">
        <v>1155</v>
      </c>
      <c r="AV45" s="10">
        <v>0</v>
      </c>
      <c r="AW45" s="10">
        <v>0</v>
      </c>
      <c r="AX45" s="10">
        <v>574043.61300000001</v>
      </c>
      <c r="AY45" s="10">
        <v>0</v>
      </c>
      <c r="BA45" s="11">
        <v>2917051.4600000004</v>
      </c>
      <c r="BB45" s="11">
        <v>1043715.66</v>
      </c>
      <c r="BC45" s="11">
        <v>1458525.7300000002</v>
      </c>
      <c r="BD45" s="11">
        <v>521857.83</v>
      </c>
      <c r="BE45" s="11">
        <v>1604378.3030000003</v>
      </c>
      <c r="BF45" s="11">
        <v>574043.61300000001</v>
      </c>
      <c r="BG45" s="11">
        <v>1604378.3030000003</v>
      </c>
      <c r="BH45" s="11">
        <v>574043.61300000001</v>
      </c>
      <c r="BI45" s="11"/>
      <c r="BJ45" s="11">
        <v>1604378.3030000003</v>
      </c>
      <c r="BK45" s="11">
        <v>574043.61300000001</v>
      </c>
      <c r="BM45" s="57" t="s">
        <v>75</v>
      </c>
      <c r="BN45" s="9">
        <v>0.121</v>
      </c>
      <c r="BO45" s="9">
        <v>0.19700000000000001</v>
      </c>
      <c r="BP45" s="9"/>
      <c r="BQ45" s="72">
        <v>0.121</v>
      </c>
      <c r="BR45" s="72">
        <v>0.19700000000000001</v>
      </c>
      <c r="BS45" s="10">
        <v>269125.28908074734</v>
      </c>
      <c r="BT45" s="11">
        <v>2178421.9160000002</v>
      </c>
      <c r="BU45" s="22">
        <v>0.12354139806622627</v>
      </c>
      <c r="BV45" s="11">
        <v>2178421.9160000002</v>
      </c>
      <c r="BW45" s="10">
        <v>269125.28908074734</v>
      </c>
    </row>
    <row r="46" spans="1:75">
      <c r="A46" t="str">
        <v>13</v>
      </c>
      <c r="B46" t="str">
        <v>D_13</v>
      </c>
      <c r="C46" t="str">
        <v>intermediated</v>
      </c>
      <c r="D46" s="10">
        <v>1471906.7000000002</v>
      </c>
      <c r="E46" s="10">
        <v>1604378.3030000003</v>
      </c>
      <c r="F46" s="10">
        <v>1155</v>
      </c>
      <c r="G46" s="10">
        <v>0</v>
      </c>
      <c r="H46" s="10">
        <v>0</v>
      </c>
      <c r="I46" s="10">
        <v>574043.61300000001</v>
      </c>
      <c r="J46" s="10">
        <v>0</v>
      </c>
      <c r="K46" s="10">
        <v>1471906.7000000002</v>
      </c>
      <c r="L46" s="10">
        <v>1604378.3030000003</v>
      </c>
      <c r="M46" s="10">
        <v>1155</v>
      </c>
      <c r="N46" s="10">
        <v>0</v>
      </c>
      <c r="O46" s="10">
        <v>0</v>
      </c>
      <c r="P46" s="10">
        <v>574043.61300000001</v>
      </c>
      <c r="Q46" s="10">
        <v>0</v>
      </c>
      <c r="S46" t="str">
        <v>D_14</v>
      </c>
      <c r="T46" t="str">
        <v>D</v>
      </c>
      <c r="U46" t="str">
        <v>14</v>
      </c>
      <c r="W46" s="10">
        <v>2965011</v>
      </c>
      <c r="X46" s="10">
        <v>2638859.79</v>
      </c>
      <c r="Y46" s="10">
        <v>2000</v>
      </c>
      <c r="Z46" s="10">
        <v>0</v>
      </c>
      <c r="AA46" s="10">
        <v>0</v>
      </c>
      <c r="AB46" s="10">
        <v>1037753.85</v>
      </c>
      <c r="AC46" s="10">
        <v>0</v>
      </c>
      <c r="AD46" s="10">
        <v>2965011</v>
      </c>
      <c r="AE46" s="10">
        <v>2638859.79</v>
      </c>
      <c r="AF46" s="10">
        <v>2000</v>
      </c>
      <c r="AG46" s="10">
        <v>0</v>
      </c>
      <c r="AH46" s="10">
        <v>0</v>
      </c>
      <c r="AI46" s="10">
        <v>1037753.85</v>
      </c>
      <c r="AJ46" s="10">
        <v>0</v>
      </c>
      <c r="AL46" s="10">
        <v>2965011</v>
      </c>
      <c r="AM46" s="10">
        <v>2638859.79</v>
      </c>
      <c r="AN46" s="10">
        <v>2000</v>
      </c>
      <c r="AO46" s="10">
        <v>0</v>
      </c>
      <c r="AP46" s="10">
        <v>0</v>
      </c>
      <c r="AQ46" s="10">
        <v>1037753.85</v>
      </c>
      <c r="AR46" s="10">
        <v>0</v>
      </c>
      <c r="AS46" s="10">
        <v>2965011</v>
      </c>
      <c r="AT46" s="10">
        <v>2638859.79</v>
      </c>
      <c r="AU46" s="10">
        <v>2000</v>
      </c>
      <c r="AV46" s="10">
        <v>0</v>
      </c>
      <c r="AW46" s="10">
        <v>0</v>
      </c>
      <c r="AX46" s="10">
        <v>1037753.85</v>
      </c>
      <c r="AY46" s="10">
        <v>0</v>
      </c>
      <c r="BA46" s="11">
        <v>2965011</v>
      </c>
      <c r="BB46" s="11">
        <v>1037753.85</v>
      </c>
      <c r="BC46" s="11">
        <v>2965011</v>
      </c>
      <c r="BD46" s="11">
        <v>1037753.85</v>
      </c>
      <c r="BE46" s="11">
        <v>2965011</v>
      </c>
      <c r="BF46" s="11">
        <v>1037753.85</v>
      </c>
      <c r="BG46" s="11">
        <v>2965011</v>
      </c>
      <c r="BH46" s="11">
        <v>1037753.85</v>
      </c>
      <c r="BI46" s="11"/>
      <c r="BJ46" s="11">
        <v>2965011</v>
      </c>
      <c r="BK46" s="11">
        <v>1037753.85</v>
      </c>
      <c r="BM46" s="57" t="s">
        <v>76</v>
      </c>
      <c r="BN46" s="9">
        <v>0.121</v>
      </c>
      <c r="BO46" s="9">
        <v>0.19700000000000001</v>
      </c>
      <c r="BP46" s="9"/>
      <c r="BQ46" s="72">
        <v>9.0999999999999998E-2</v>
      </c>
      <c r="BR46" s="72">
        <v>0.23200000000000001</v>
      </c>
      <c r="BS46" s="10">
        <v>442409.44928757014</v>
      </c>
      <c r="BT46" s="11">
        <v>4002764.85</v>
      </c>
      <c r="BU46" s="22">
        <v>0.1105259653930383</v>
      </c>
      <c r="BV46" s="11">
        <v>4002764.85</v>
      </c>
      <c r="BW46" s="10">
        <v>442409.44928757014</v>
      </c>
    </row>
    <row r="47" spans="1:75">
      <c r="A47" t="str">
        <v>14</v>
      </c>
      <c r="B47" t="str">
        <v>D_14</v>
      </c>
      <c r="C47" t="str">
        <v>specialised</v>
      </c>
      <c r="D47" s="10">
        <v>2965011</v>
      </c>
      <c r="E47" s="10">
        <v>2638859.79</v>
      </c>
      <c r="F47" s="10">
        <v>2000</v>
      </c>
      <c r="G47" s="10">
        <v>0</v>
      </c>
      <c r="H47" s="10">
        <v>0</v>
      </c>
      <c r="I47" s="10">
        <v>1037753.85</v>
      </c>
      <c r="J47" s="10">
        <v>0</v>
      </c>
      <c r="K47" s="10">
        <v>2965011</v>
      </c>
      <c r="L47" s="10">
        <v>2638859.79</v>
      </c>
      <c r="M47" s="10">
        <v>2000</v>
      </c>
      <c r="N47" s="10">
        <v>0</v>
      </c>
      <c r="O47" s="10">
        <v>0</v>
      </c>
      <c r="P47" s="10">
        <v>1037753.85</v>
      </c>
      <c r="Q47" s="10">
        <v>0</v>
      </c>
      <c r="S47" t="str">
        <v>D_15</v>
      </c>
      <c r="T47" t="str">
        <v>D</v>
      </c>
      <c r="U47" t="str">
        <v>15</v>
      </c>
      <c r="W47" s="10">
        <v>3483517</v>
      </c>
      <c r="X47" s="10">
        <v>3448681.83</v>
      </c>
      <c r="Y47" s="10">
        <v>2100</v>
      </c>
      <c r="Z47" s="10">
        <v>0</v>
      </c>
      <c r="AA47" s="10">
        <v>0</v>
      </c>
      <c r="AB47" s="10">
        <v>1184395.78</v>
      </c>
      <c r="AC47" s="10">
        <v>0</v>
      </c>
      <c r="AD47" s="10">
        <v>2960989.4499999997</v>
      </c>
      <c r="AE47" s="10">
        <v>2931379.5554999998</v>
      </c>
      <c r="AF47" s="10">
        <v>1785</v>
      </c>
      <c r="AG47" s="10">
        <v>0</v>
      </c>
      <c r="AH47" s="10">
        <v>0</v>
      </c>
      <c r="AI47" s="10">
        <v>1006736.4129999999</v>
      </c>
      <c r="AJ47" s="10">
        <v>0</v>
      </c>
      <c r="AL47" s="10">
        <v>2995824.62</v>
      </c>
      <c r="AM47" s="10">
        <v>2965866.3738000002</v>
      </c>
      <c r="AN47" s="10">
        <v>1806</v>
      </c>
      <c r="AO47" s="10">
        <v>0</v>
      </c>
      <c r="AP47" s="10">
        <v>0</v>
      </c>
      <c r="AQ47" s="10">
        <v>1018580.3708</v>
      </c>
      <c r="AR47" s="10">
        <v>0</v>
      </c>
      <c r="AS47" s="10">
        <v>2995824.62</v>
      </c>
      <c r="AT47" s="10">
        <v>2965866.3738000002</v>
      </c>
      <c r="AU47" s="10">
        <v>1806</v>
      </c>
      <c r="AV47" s="10">
        <v>0</v>
      </c>
      <c r="AW47" s="10">
        <v>0</v>
      </c>
      <c r="AX47" s="10">
        <v>1018580.3708</v>
      </c>
      <c r="AY47" s="10">
        <v>0</v>
      </c>
      <c r="BA47" s="11">
        <v>3483517</v>
      </c>
      <c r="BB47" s="11">
        <v>1184395.78</v>
      </c>
      <c r="BC47" s="11">
        <v>2960989.4499999997</v>
      </c>
      <c r="BD47" s="11">
        <v>1006736.4129999999</v>
      </c>
      <c r="BE47" s="11">
        <v>2995824.62</v>
      </c>
      <c r="BF47" s="11">
        <v>1018580.3708</v>
      </c>
      <c r="BG47" s="11">
        <v>2995824.62</v>
      </c>
      <c r="BH47" s="11">
        <v>1018580.3708</v>
      </c>
      <c r="BI47" s="11"/>
      <c r="BJ47" s="11">
        <v>2995824.62</v>
      </c>
      <c r="BK47" s="11">
        <v>1018580.3708</v>
      </c>
      <c r="BM47" s="57" t="s">
        <v>77</v>
      </c>
      <c r="BN47" s="9">
        <v>9.0999999999999998E-2</v>
      </c>
      <c r="BO47" s="9">
        <v>0.23200000000000001</v>
      </c>
      <c r="BP47" s="9"/>
      <c r="BQ47" s="72">
        <v>0.123</v>
      </c>
      <c r="BR47" s="72">
        <v>0.193</v>
      </c>
      <c r="BS47" s="10">
        <v>496857.71102183306</v>
      </c>
      <c r="BT47" s="11">
        <v>4014404.9908000003</v>
      </c>
      <c r="BU47" s="22">
        <v>0.12376870598768812</v>
      </c>
      <c r="BV47" s="11">
        <v>4014404.9908000003</v>
      </c>
      <c r="BW47" s="10">
        <v>496857.71102183306</v>
      </c>
    </row>
    <row r="48" spans="1:75">
      <c r="A48" t="str">
        <v>15</v>
      </c>
      <c r="B48" t="str">
        <v>D_15</v>
      </c>
      <c r="C48" t="str">
        <v>direct</v>
      </c>
      <c r="D48" s="10">
        <v>2995824.62</v>
      </c>
      <c r="E48" s="10">
        <v>2965866.3738000002</v>
      </c>
      <c r="F48" s="10">
        <v>1806</v>
      </c>
      <c r="G48" s="10">
        <v>0</v>
      </c>
      <c r="H48" s="10">
        <v>0</v>
      </c>
      <c r="I48" s="10">
        <v>1018580.3708</v>
      </c>
      <c r="J48" s="10">
        <v>0</v>
      </c>
      <c r="K48" s="10">
        <v>2995824.62</v>
      </c>
      <c r="L48" s="10">
        <v>2965866.3738000002</v>
      </c>
      <c r="M48" s="10">
        <v>1806</v>
      </c>
      <c r="N48" s="10">
        <v>0</v>
      </c>
      <c r="O48" s="10">
        <v>0</v>
      </c>
      <c r="P48" s="10">
        <v>1018580.3708</v>
      </c>
      <c r="Q48" s="10">
        <v>0</v>
      </c>
      <c r="S48" t="str">
        <v>D_16i</v>
      </c>
      <c r="T48" t="str">
        <v>D</v>
      </c>
      <c r="U48" t="str">
        <v>16i</v>
      </c>
      <c r="W48" s="10">
        <v>1419003</v>
      </c>
      <c r="X48" s="10">
        <v>1461573.09</v>
      </c>
      <c r="Y48" s="10">
        <v>2900</v>
      </c>
      <c r="Z48" s="10">
        <v>0</v>
      </c>
      <c r="AA48" s="10">
        <v>0</v>
      </c>
      <c r="AB48" s="10">
        <v>624361.31999999995</v>
      </c>
      <c r="AC48" s="10">
        <v>0</v>
      </c>
      <c r="AD48" s="10">
        <v>1419003</v>
      </c>
      <c r="AE48" s="10">
        <v>1461573.09</v>
      </c>
      <c r="AF48" s="10">
        <v>2900</v>
      </c>
      <c r="AG48" s="10">
        <v>0</v>
      </c>
      <c r="AH48" s="10">
        <v>0</v>
      </c>
      <c r="AI48" s="10">
        <v>624361.31999999995</v>
      </c>
      <c r="AJ48" s="10">
        <v>0</v>
      </c>
      <c r="AL48" s="10">
        <v>1419003</v>
      </c>
      <c r="AM48" s="10">
        <v>1461573.09</v>
      </c>
      <c r="AN48" s="10">
        <v>2900</v>
      </c>
      <c r="AO48" s="10">
        <v>0</v>
      </c>
      <c r="AP48" s="10">
        <v>0</v>
      </c>
      <c r="AQ48" s="10">
        <v>624361.31999999995</v>
      </c>
      <c r="AR48" s="10">
        <v>0</v>
      </c>
      <c r="AS48" s="10">
        <v>1419003</v>
      </c>
      <c r="AT48" s="10">
        <v>1461573.09</v>
      </c>
      <c r="AU48" s="10">
        <v>2900</v>
      </c>
      <c r="AV48" s="10">
        <v>0</v>
      </c>
      <c r="AW48" s="10">
        <v>0</v>
      </c>
      <c r="AX48" s="10">
        <v>624361.31999999995</v>
      </c>
      <c r="AY48" s="10">
        <v>0</v>
      </c>
      <c r="BA48" s="11">
        <v>1461573.09</v>
      </c>
      <c r="BB48" s="11">
        <v>624361.31999999995</v>
      </c>
      <c r="BC48" s="11">
        <v>1461573.09</v>
      </c>
      <c r="BD48" s="11">
        <v>624361.31999999995</v>
      </c>
      <c r="BE48" s="11">
        <v>1461573.09</v>
      </c>
      <c r="BF48" s="11">
        <v>624361.31999999995</v>
      </c>
      <c r="BG48" s="11">
        <v>1461573.09</v>
      </c>
      <c r="BH48" s="11">
        <v>624361.31999999995</v>
      </c>
      <c r="BI48" s="11"/>
      <c r="BJ48" s="11">
        <v>1461573.09</v>
      </c>
      <c r="BK48" s="11">
        <v>624361.31999999995</v>
      </c>
      <c r="BM48" s="57" t="s">
        <v>78</v>
      </c>
      <c r="BN48" s="9">
        <v>0.123</v>
      </c>
      <c r="BO48" s="9">
        <v>0.193</v>
      </c>
      <c r="BP48" s="9"/>
      <c r="BQ48" s="72">
        <v>9.0999999999999998E-2</v>
      </c>
      <c r="BR48" s="72">
        <v>0.23200000000000001</v>
      </c>
      <c r="BS48" s="10">
        <v>240702.38706144874</v>
      </c>
      <c r="BT48" s="11">
        <v>2085934.4100000001</v>
      </c>
      <c r="BU48" s="22">
        <v>0.1153930755960101</v>
      </c>
      <c r="BV48" s="11">
        <v>2085934.4100000001</v>
      </c>
      <c r="BW48" s="10">
        <v>240702.38706144874</v>
      </c>
    </row>
    <row r="49" spans="1:75">
      <c r="A49" t="str">
        <v>16i</v>
      </c>
      <c r="B49" t="str">
        <v>D_16i</v>
      </c>
      <c r="C49" t="str">
        <v>specialised</v>
      </c>
      <c r="D49" s="10">
        <v>1419003</v>
      </c>
      <c r="E49" s="10">
        <v>1461573.09</v>
      </c>
      <c r="F49" s="10">
        <v>2900</v>
      </c>
      <c r="G49" s="10">
        <v>0</v>
      </c>
      <c r="H49" s="10">
        <v>0</v>
      </c>
      <c r="I49" s="10">
        <v>624361.31999999995</v>
      </c>
      <c r="J49" s="10">
        <v>0</v>
      </c>
      <c r="K49" s="10">
        <v>1419003</v>
      </c>
      <c r="L49" s="10">
        <v>1461573.09</v>
      </c>
      <c r="M49" s="10">
        <v>2900</v>
      </c>
      <c r="N49" s="10">
        <v>0</v>
      </c>
      <c r="O49" s="10">
        <v>0</v>
      </c>
      <c r="P49" s="10">
        <v>624361.31999999995</v>
      </c>
      <c r="Q49" s="10">
        <v>0</v>
      </c>
      <c r="S49" t="str">
        <v>FNP_18b</v>
      </c>
      <c r="T49" t="str">
        <v>FNP</v>
      </c>
      <c r="U49" t="str">
        <v>18b</v>
      </c>
      <c r="W49" s="10">
        <v>3781747</v>
      </c>
      <c r="X49" s="10">
        <v>4159921.7</v>
      </c>
      <c r="Y49" s="10">
        <v>2900</v>
      </c>
      <c r="Z49" s="10">
        <v>0</v>
      </c>
      <c r="AA49" s="10">
        <v>0</v>
      </c>
      <c r="AB49" s="10">
        <v>1172341.57</v>
      </c>
      <c r="AC49" s="10">
        <v>0</v>
      </c>
      <c r="AD49" s="10">
        <v>3781747</v>
      </c>
      <c r="AE49" s="10">
        <v>4159921.7</v>
      </c>
      <c r="AF49" s="10">
        <v>2900</v>
      </c>
      <c r="AG49" s="10">
        <v>0</v>
      </c>
      <c r="AH49" s="10">
        <v>0</v>
      </c>
      <c r="AI49" s="10">
        <v>1172341.57</v>
      </c>
      <c r="AJ49" s="10">
        <v>0</v>
      </c>
      <c r="AL49" s="10">
        <v>3781747</v>
      </c>
      <c r="AM49" s="10">
        <v>4159921.7</v>
      </c>
      <c r="AN49" s="10">
        <v>2900</v>
      </c>
      <c r="AO49" s="10">
        <v>0</v>
      </c>
      <c r="AP49" s="10">
        <v>0</v>
      </c>
      <c r="AQ49" s="10">
        <v>1172341.57</v>
      </c>
      <c r="AR49" s="10">
        <v>0</v>
      </c>
      <c r="AS49" s="10">
        <v>3781747</v>
      </c>
      <c r="AT49" s="10">
        <v>4159921.7</v>
      </c>
      <c r="AU49" s="10">
        <v>2900</v>
      </c>
      <c r="AV49" s="10">
        <v>0</v>
      </c>
      <c r="AW49" s="10">
        <v>0</v>
      </c>
      <c r="AX49" s="10">
        <v>1172341.57</v>
      </c>
      <c r="AY49" s="10">
        <v>0</v>
      </c>
      <c r="BA49" s="11">
        <v>4159921.7</v>
      </c>
      <c r="BB49" s="11">
        <v>1172341.57</v>
      </c>
      <c r="BC49" s="11">
        <v>4159921.7</v>
      </c>
      <c r="BD49" s="11">
        <v>1172341.57</v>
      </c>
      <c r="BE49" s="11">
        <v>4159921.7</v>
      </c>
      <c r="BF49" s="11">
        <v>1172341.57</v>
      </c>
      <c r="BG49" s="11">
        <v>4159921.7</v>
      </c>
      <c r="BH49" s="11">
        <v>1172341.57</v>
      </c>
      <c r="BI49" s="11"/>
      <c r="BJ49" s="11">
        <v>4159921.7</v>
      </c>
      <c r="BK49" s="11">
        <v>1172341.57</v>
      </c>
      <c r="BM49" t="s">
        <v>61</v>
      </c>
      <c r="BN49" s="9">
        <v>9.0999999999999998E-2</v>
      </c>
      <c r="BO49" s="9">
        <v>0.23200000000000001</v>
      </c>
      <c r="BP49" s="9"/>
      <c r="BQ49" s="72">
        <v>0.17499999999999999</v>
      </c>
      <c r="BR49" s="72">
        <v>0.2</v>
      </c>
      <c r="BS49" s="10">
        <v>869269.32501250063</v>
      </c>
      <c r="BT49" s="11">
        <v>5332263.2700000005</v>
      </c>
      <c r="BU49" s="22">
        <v>0.16302070640493724</v>
      </c>
      <c r="BV49" s="11">
        <v>5332263.2700000005</v>
      </c>
      <c r="BW49" s="10">
        <v>869269.32501250063</v>
      </c>
    </row>
    <row r="50" spans="1:75">
      <c r="A50" t="str">
        <v>18b</v>
      </c>
      <c r="B50" t="str">
        <v>FNP_18b</v>
      </c>
      <c r="C50" t="str">
        <v>direct</v>
      </c>
      <c r="D50" s="10">
        <v>3781747</v>
      </c>
      <c r="E50" s="10">
        <v>4159921.7</v>
      </c>
      <c r="F50" s="10">
        <v>2900</v>
      </c>
      <c r="G50" s="10">
        <v>0</v>
      </c>
      <c r="H50" s="10">
        <v>0</v>
      </c>
      <c r="I50" s="10">
        <v>1172341.57</v>
      </c>
      <c r="J50" s="10">
        <v>0</v>
      </c>
      <c r="K50" s="10">
        <v>3781747</v>
      </c>
      <c r="L50" s="10">
        <v>4159921.7</v>
      </c>
      <c r="M50" s="10">
        <v>2900</v>
      </c>
      <c r="N50" s="10">
        <v>0</v>
      </c>
      <c r="O50" s="10">
        <v>0</v>
      </c>
      <c r="P50" s="10">
        <v>1172341.57</v>
      </c>
      <c r="Q50" s="10">
        <v>0</v>
      </c>
      <c r="S50" t="str">
        <v>O_18c</v>
      </c>
      <c r="T50" t="str">
        <v>O</v>
      </c>
      <c r="U50" t="str">
        <v>18c</v>
      </c>
      <c r="W50" s="10">
        <v>2324524</v>
      </c>
      <c r="X50" s="10">
        <v>2115316.84</v>
      </c>
      <c r="Y50" s="10">
        <v>2900</v>
      </c>
      <c r="Z50" s="10">
        <v>0</v>
      </c>
      <c r="AA50" s="10">
        <v>0</v>
      </c>
      <c r="AB50" s="10">
        <v>650866.72000000009</v>
      </c>
      <c r="AC50" s="10">
        <v>0</v>
      </c>
      <c r="AD50" s="10">
        <v>2324524</v>
      </c>
      <c r="AE50" s="10">
        <v>2115316.84</v>
      </c>
      <c r="AF50" s="10">
        <v>2900</v>
      </c>
      <c r="AG50" s="10">
        <v>0</v>
      </c>
      <c r="AH50" s="10">
        <v>0</v>
      </c>
      <c r="AI50" s="10">
        <v>650866.72000000009</v>
      </c>
      <c r="AJ50" s="10">
        <v>0</v>
      </c>
      <c r="AL50" s="10">
        <v>2324524</v>
      </c>
      <c r="AM50" s="10">
        <v>2115316.84</v>
      </c>
      <c r="AN50" s="10">
        <v>2900</v>
      </c>
      <c r="AO50" s="10">
        <v>0</v>
      </c>
      <c r="AP50" s="10">
        <v>0</v>
      </c>
      <c r="AQ50" s="10">
        <v>650866.72000000009</v>
      </c>
      <c r="AR50" s="10">
        <v>0</v>
      </c>
      <c r="AS50" s="10">
        <v>2324524</v>
      </c>
      <c r="AT50" s="10">
        <v>2115316.84</v>
      </c>
      <c r="AU50" s="10">
        <v>2900</v>
      </c>
      <c r="AV50" s="10">
        <v>0</v>
      </c>
      <c r="AW50" s="10">
        <v>0</v>
      </c>
      <c r="AX50" s="10">
        <v>650866.72000000009</v>
      </c>
      <c r="AY50" s="10">
        <v>0</v>
      </c>
      <c r="BA50" s="11">
        <v>2324524</v>
      </c>
      <c r="BB50" s="11">
        <v>650866.72000000009</v>
      </c>
      <c r="BC50" s="11">
        <v>2324524</v>
      </c>
      <c r="BD50" s="11">
        <v>650866.72000000009</v>
      </c>
      <c r="BE50" s="11">
        <v>2324524</v>
      </c>
      <c r="BF50" s="11">
        <v>650866.72000000009</v>
      </c>
      <c r="BG50" s="11">
        <v>2324524</v>
      </c>
      <c r="BH50" s="11">
        <v>650866.72000000009</v>
      </c>
      <c r="BI50" s="11"/>
      <c r="BJ50" s="11">
        <v>2324524</v>
      </c>
      <c r="BK50" s="11">
        <v>650866.72000000009</v>
      </c>
      <c r="BM50" t="s">
        <v>62</v>
      </c>
      <c r="BN50" s="9">
        <v>9.0999999999999998E-2</v>
      </c>
      <c r="BO50" s="9">
        <v>0.23200000000000001</v>
      </c>
      <c r="BP50" s="9"/>
      <c r="BQ50" s="72">
        <v>0.17499999999999999</v>
      </c>
      <c r="BR50" s="72">
        <v>0.2</v>
      </c>
      <c r="BS50" s="10">
        <v>485157.72958644805</v>
      </c>
      <c r="BT50" s="11">
        <v>2975390.72</v>
      </c>
      <c r="BU50" s="22">
        <v>0.16305681345488904</v>
      </c>
      <c r="BV50" s="11">
        <v>2975390.72</v>
      </c>
      <c r="BW50" s="10">
        <v>485157.729586448</v>
      </c>
    </row>
    <row r="51" spans="1:75">
      <c r="A51" t="str">
        <v>18b</v>
      </c>
      <c r="B51" t="str">
        <v>NP_18b</v>
      </c>
      <c r="C51" t="str">
        <v>specialised</v>
      </c>
      <c r="D51" s="10">
        <v>2862500.54</v>
      </c>
      <c r="E51" s="10">
        <v>2919750.5508000003</v>
      </c>
      <c r="F51" s="10">
        <v>3010</v>
      </c>
      <c r="G51" s="10">
        <v>0</v>
      </c>
      <c r="H51" s="10">
        <v>0</v>
      </c>
      <c r="I51" s="10">
        <v>1059125.1997999998</v>
      </c>
      <c r="J51" s="10">
        <v>0</v>
      </c>
      <c r="K51" s="10">
        <v>2862500.54</v>
      </c>
      <c r="L51" s="10">
        <v>2919750.5508000003</v>
      </c>
      <c r="M51" s="10">
        <v>3010</v>
      </c>
      <c r="N51" s="10">
        <v>0</v>
      </c>
      <c r="O51" s="10">
        <v>0</v>
      </c>
      <c r="P51" s="10">
        <v>1059125.1997999998</v>
      </c>
      <c r="Q51" s="10">
        <v>0</v>
      </c>
      <c r="S51" t="str">
        <v>P_17ii</v>
      </c>
      <c r="T51" t="str">
        <v>P</v>
      </c>
      <c r="U51" t="str">
        <v>17ii</v>
      </c>
      <c r="W51" s="10">
        <v>3529986</v>
      </c>
      <c r="X51" s="10">
        <v>3459386.28</v>
      </c>
      <c r="Y51" s="10">
        <v>2900</v>
      </c>
      <c r="Z51" s="10">
        <v>0</v>
      </c>
      <c r="AA51" s="10">
        <v>0</v>
      </c>
      <c r="AB51" s="10">
        <v>1306094.82</v>
      </c>
      <c r="AC51" s="10">
        <v>0</v>
      </c>
      <c r="AD51" s="10">
        <v>1764993</v>
      </c>
      <c r="AE51" s="10">
        <v>1729693.14</v>
      </c>
      <c r="AF51" s="10">
        <v>1450</v>
      </c>
      <c r="AG51" s="10">
        <v>0</v>
      </c>
      <c r="AH51" s="10">
        <v>0</v>
      </c>
      <c r="AI51" s="10">
        <v>653047.41</v>
      </c>
      <c r="AJ51" s="10">
        <v>0</v>
      </c>
      <c r="AL51" s="10">
        <v>1941492.3</v>
      </c>
      <c r="AM51" s="10">
        <v>1902662.4540000001</v>
      </c>
      <c r="AN51" s="10">
        <v>1595.0000000000002</v>
      </c>
      <c r="AO51" s="10">
        <v>0</v>
      </c>
      <c r="AP51" s="10">
        <v>0</v>
      </c>
      <c r="AQ51" s="10">
        <v>718352.15100000007</v>
      </c>
      <c r="AR51" s="10">
        <v>0</v>
      </c>
      <c r="AS51" s="10">
        <v>1941492.3</v>
      </c>
      <c r="AT51" s="10">
        <v>1902662.4540000001</v>
      </c>
      <c r="AU51" s="10">
        <v>1595.0000000000002</v>
      </c>
      <c r="AV51" s="10">
        <v>0</v>
      </c>
      <c r="AW51" s="10">
        <v>0</v>
      </c>
      <c r="AX51" s="10">
        <v>718352.15100000007</v>
      </c>
      <c r="AY51" s="10">
        <v>0</v>
      </c>
      <c r="BA51" s="11">
        <v>3529986</v>
      </c>
      <c r="BB51" s="11">
        <v>1306094.82</v>
      </c>
      <c r="BC51" s="11">
        <v>1764993</v>
      </c>
      <c r="BD51" s="11">
        <v>653047.41</v>
      </c>
      <c r="BE51" s="11">
        <v>1941492.3</v>
      </c>
      <c r="BF51" s="11">
        <v>718352.15100000007</v>
      </c>
      <c r="BG51" s="11">
        <v>1941492.3</v>
      </c>
      <c r="BH51" s="11">
        <v>718352.15100000007</v>
      </c>
      <c r="BI51" s="11"/>
      <c r="BJ51" s="11">
        <v>1941492.3</v>
      </c>
      <c r="BK51" s="11">
        <v>718352.15100000007</v>
      </c>
      <c r="BM51" t="s">
        <v>63</v>
      </c>
      <c r="BN51" s="9">
        <v>9.0999999999999998E-2</v>
      </c>
      <c r="BO51" s="9">
        <v>0.23200000000000001</v>
      </c>
      <c r="BP51" s="9"/>
      <c r="BQ51" s="72">
        <v>0.14899999999999999</v>
      </c>
      <c r="BR51" s="72">
        <v>0.11</v>
      </c>
      <c r="BS51" s="10">
        <v>335837.70835480961</v>
      </c>
      <c r="BT51" s="11">
        <v>2659844.4510000004</v>
      </c>
      <c r="BU51" s="22">
        <v>0.12626216101792997</v>
      </c>
      <c r="BV51" s="11">
        <v>2659844.4510000004</v>
      </c>
      <c r="BW51" s="10">
        <v>335837.70835480961</v>
      </c>
    </row>
    <row r="52" spans="1:75">
      <c r="A52" t="str">
        <v>18c</v>
      </c>
      <c r="B52" t="str">
        <v>O_18c</v>
      </c>
      <c r="C52" t="str">
        <v>direct</v>
      </c>
      <c r="D52" s="10">
        <v>2324524</v>
      </c>
      <c r="E52" s="10">
        <v>2115316.84</v>
      </c>
      <c r="F52" s="10">
        <v>2900</v>
      </c>
      <c r="G52" s="10">
        <v>0</v>
      </c>
      <c r="H52" s="10">
        <v>0</v>
      </c>
      <c r="I52" s="10">
        <v>650866.72000000009</v>
      </c>
      <c r="J52" s="10">
        <v>0</v>
      </c>
      <c r="K52" s="10">
        <v>2324524</v>
      </c>
      <c r="L52" s="10">
        <v>2115316.84</v>
      </c>
      <c r="M52" s="10">
        <v>2900</v>
      </c>
      <c r="N52" s="10">
        <v>0</v>
      </c>
      <c r="O52" s="10">
        <v>0</v>
      </c>
      <c r="P52" s="10">
        <v>650866.72000000009</v>
      </c>
      <c r="Q52" s="10">
        <v>0</v>
      </c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L52" s="10"/>
      <c r="AM52" s="10"/>
      <c r="AN52" s="10"/>
      <c r="AO52" s="10"/>
      <c r="AP52" s="10"/>
      <c r="AQ52" s="10"/>
      <c r="AR52" s="10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M52" t="s">
        <v>64</v>
      </c>
      <c r="BN52" s="9">
        <v>0.14899999999999999</v>
      </c>
      <c r="BO52" s="9">
        <v>0.11</v>
      </c>
      <c r="BP52" s="9"/>
      <c r="BS52" s="10"/>
      <c r="BT52" s="11"/>
      <c r="BU52" s="22"/>
      <c r="BV52" s="11"/>
      <c r="BW52" s="23"/>
    </row>
    <row r="53" spans="1:75">
      <c r="A53" t="str">
        <v>17ii</v>
      </c>
      <c r="B53" t="str">
        <v>P_17ii</v>
      </c>
      <c r="C53" t="str">
        <v>direct</v>
      </c>
      <c r="D53" s="10">
        <v>1941492.3</v>
      </c>
      <c r="E53" s="10">
        <v>1902662.4540000001</v>
      </c>
      <c r="F53" s="10">
        <v>1595.0000000000002</v>
      </c>
      <c r="G53" s="10">
        <v>0</v>
      </c>
      <c r="H53" s="10">
        <v>0</v>
      </c>
      <c r="I53" s="10">
        <v>718352.15100000007</v>
      </c>
      <c r="J53" s="10">
        <v>0</v>
      </c>
      <c r="K53" s="10">
        <v>1941492.3</v>
      </c>
      <c r="L53" s="10">
        <v>1902662.4540000001</v>
      </c>
      <c r="M53" s="10">
        <v>1595.0000000000002</v>
      </c>
      <c r="N53" s="10">
        <v>0</v>
      </c>
      <c r="O53" s="10">
        <v>0</v>
      </c>
      <c r="P53" s="10">
        <v>718352.15100000007</v>
      </c>
      <c r="Q53" s="10">
        <v>0</v>
      </c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L53" s="10"/>
      <c r="AM53" s="10"/>
      <c r="AN53" s="10"/>
      <c r="AO53" s="10"/>
      <c r="AP53" s="10"/>
      <c r="AQ53" s="10"/>
      <c r="AR53" s="10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M53" t="s">
        <v>65</v>
      </c>
      <c r="BN53" s="9">
        <v>0.14899999999999999</v>
      </c>
      <c r="BO53" s="9">
        <v>0.11</v>
      </c>
      <c r="BP53" s="9"/>
      <c r="BS53" s="10"/>
      <c r="BT53" s="11"/>
      <c r="BU53" s="22"/>
      <c r="BV53" s="11"/>
      <c r="BW53" s="23"/>
    </row>
    <row r="54" spans="1:75">
      <c r="A54" t="str">
        <v>zzz</v>
      </c>
      <c r="B54" t="str">
        <v>_zzz</v>
      </c>
      <c r="C54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L54" s="10"/>
      <c r="AM54" s="10"/>
      <c r="AN54" s="10"/>
      <c r="AO54" s="10"/>
      <c r="AP54" s="10"/>
      <c r="AQ54" s="10"/>
      <c r="AR54" s="10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M54" t="s">
        <v>66</v>
      </c>
      <c r="BN54" s="9">
        <v>0.14899999999999999</v>
      </c>
      <c r="BO54" s="9">
        <v>0.11</v>
      </c>
      <c r="BP54" s="9"/>
      <c r="BS54" s="10"/>
      <c r="BT54" s="11"/>
      <c r="BU54" s="22"/>
      <c r="BV54" s="11"/>
      <c r="BW54" s="23"/>
    </row>
    <row r="55" spans="1:75">
      <c r="A55" t="str">
        <v>zzz</v>
      </c>
      <c r="B55" t="str">
        <v>_zzz</v>
      </c>
      <c r="C55">
        <v>0</v>
      </c>
      <c r="D55" s="10">
        <v>0</v>
      </c>
      <c r="E55" s="10">
        <v>0</v>
      </c>
      <c r="F55" s="10">
        <v>0</v>
      </c>
      <c r="G55" s="10">
        <v>0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0</v>
      </c>
      <c r="N55" s="10">
        <v>0</v>
      </c>
      <c r="O55" s="10">
        <v>0</v>
      </c>
      <c r="P55" s="10">
        <v>0</v>
      </c>
      <c r="Q55" s="10">
        <v>0</v>
      </c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L55" s="10"/>
      <c r="AM55" s="10"/>
      <c r="AN55" s="10"/>
      <c r="AO55" s="10"/>
      <c r="AP55" s="10"/>
      <c r="AQ55" s="10"/>
      <c r="AR55" s="10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M55" t="s">
        <v>67</v>
      </c>
      <c r="BN55" s="9">
        <v>0.14899999999999999</v>
      </c>
      <c r="BO55" s="9">
        <v>0.11</v>
      </c>
      <c r="BP55" s="9"/>
      <c r="BS55" s="10"/>
      <c r="BT55" s="11"/>
      <c r="BU55" s="22"/>
      <c r="BV55" s="11"/>
      <c r="BW55" s="23"/>
    </row>
    <row r="56" spans="1:75">
      <c r="A56" t="str">
        <v>zzz</v>
      </c>
      <c r="B56" t="str">
        <v>_zzz</v>
      </c>
      <c r="C56">
        <v>0</v>
      </c>
      <c r="D56" s="10">
        <v>0</v>
      </c>
      <c r="E56" s="10">
        <v>0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0</v>
      </c>
      <c r="L56" s="10">
        <v>0</v>
      </c>
      <c r="M56" s="10">
        <v>0</v>
      </c>
      <c r="N56" s="10">
        <v>0</v>
      </c>
      <c r="O56" s="10">
        <v>0</v>
      </c>
      <c r="P56" s="10">
        <v>0</v>
      </c>
      <c r="Q56" s="10">
        <v>0</v>
      </c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L56" s="10"/>
      <c r="AM56" s="10"/>
      <c r="AN56" s="10"/>
      <c r="AO56" s="10"/>
      <c r="AP56" s="10"/>
      <c r="AQ56" s="10"/>
      <c r="AR56" s="10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M56" t="s">
        <v>68</v>
      </c>
      <c r="BN56" s="9">
        <v>0.17499999999999999</v>
      </c>
      <c r="BO56" s="58">
        <v>0.2</v>
      </c>
      <c r="BP56" s="58"/>
      <c r="BS56" s="10"/>
      <c r="BT56" s="11"/>
      <c r="BU56" s="22"/>
      <c r="BV56" s="11"/>
      <c r="BW56" s="23"/>
    </row>
    <row r="57" spans="1:75">
      <c r="A57" t="str">
        <v>zzz</v>
      </c>
      <c r="B57" t="str">
        <v>_zzz</v>
      </c>
      <c r="C57">
        <v>0</v>
      </c>
      <c r="D57" s="10">
        <v>0</v>
      </c>
      <c r="E57" s="10">
        <v>0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0</v>
      </c>
      <c r="L57" s="10">
        <v>0</v>
      </c>
      <c r="M57" s="10">
        <v>0</v>
      </c>
      <c r="N57" s="10">
        <v>0</v>
      </c>
      <c r="O57" s="10">
        <v>0</v>
      </c>
      <c r="P57" s="10">
        <v>0</v>
      </c>
      <c r="Q57" s="10">
        <v>0</v>
      </c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L57" s="10"/>
      <c r="AM57" s="10"/>
      <c r="AN57" s="10"/>
      <c r="AO57" s="10"/>
      <c r="AP57" s="10"/>
      <c r="AQ57" s="10"/>
      <c r="AR57" s="10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M57" t="s">
        <v>69</v>
      </c>
      <c r="BN57" s="9">
        <v>0.17499999999999999</v>
      </c>
      <c r="BO57" s="58">
        <v>0.2</v>
      </c>
      <c r="BP57" s="58"/>
      <c r="BS57" s="10"/>
      <c r="BT57" s="11"/>
      <c r="BU57" s="22"/>
      <c r="BV57" s="11"/>
      <c r="BW57" s="23"/>
    </row>
    <row r="58" spans="1:75">
      <c r="A58" t="str">
        <v>zzz</v>
      </c>
      <c r="B58" t="str">
        <v>_zzz</v>
      </c>
      <c r="C58">
        <v>0</v>
      </c>
      <c r="D58" s="10">
        <v>0</v>
      </c>
      <c r="E58" s="10">
        <v>0</v>
      </c>
      <c r="F58" s="10">
        <v>0</v>
      </c>
      <c r="G58" s="10">
        <v>0</v>
      </c>
      <c r="H58" s="10">
        <v>0</v>
      </c>
      <c r="I58" s="10">
        <v>0</v>
      </c>
      <c r="J58" s="10">
        <v>0</v>
      </c>
      <c r="K58" s="10">
        <v>0</v>
      </c>
      <c r="L58" s="10">
        <v>0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L58" s="10"/>
      <c r="AM58" s="10"/>
      <c r="AN58" s="10"/>
      <c r="AO58" s="10"/>
      <c r="AP58" s="10"/>
      <c r="AQ58" s="10"/>
      <c r="AR58" s="10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S58" s="10"/>
      <c r="BT58" s="11"/>
      <c r="BU58" s="22"/>
      <c r="BV58" s="11"/>
      <c r="BW58" s="23"/>
    </row>
    <row r="59" spans="1:75"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L59" s="10"/>
      <c r="AM59" s="10"/>
      <c r="AN59" s="10"/>
      <c r="AO59" s="10"/>
      <c r="AP59" s="10"/>
      <c r="AQ59" s="10"/>
      <c r="AR59" s="10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S59" s="10"/>
      <c r="BT59" s="11"/>
      <c r="BU59" s="22"/>
      <c r="BV59" s="11"/>
      <c r="BW59" s="23"/>
    </row>
    <row r="60" spans="1:75"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L60" s="10"/>
      <c r="AM60" s="10"/>
      <c r="AN60" s="10"/>
      <c r="AO60" s="10"/>
      <c r="AP60" s="10"/>
      <c r="AQ60" s="10"/>
      <c r="AR60" s="10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S60" s="10"/>
      <c r="BT60" s="11"/>
      <c r="BU60" s="22"/>
      <c r="BV60" s="11"/>
      <c r="BW60" s="23"/>
    </row>
    <row r="61" spans="1:75"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L61" s="10"/>
      <c r="AM61" s="10"/>
      <c r="AN61" s="10"/>
      <c r="AO61" s="10"/>
      <c r="AP61" s="10"/>
      <c r="AQ61" s="10"/>
      <c r="AR61" s="10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S61" s="10"/>
      <c r="BT61" s="11"/>
      <c r="BU61" s="22"/>
      <c r="BV61" s="11"/>
      <c r="BW61" s="23"/>
    </row>
    <row r="62" spans="1:75"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L62" s="10"/>
      <c r="AM62" s="10"/>
      <c r="AN62" s="10"/>
      <c r="AO62" s="10"/>
      <c r="AP62" s="10"/>
      <c r="AQ62" s="10"/>
      <c r="AR62" s="10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S62" s="10"/>
      <c r="BT62" s="11"/>
      <c r="BU62" s="22"/>
      <c r="BV62" s="11"/>
      <c r="BW62" s="23"/>
    </row>
    <row r="63" spans="1:75"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L63" s="10"/>
      <c r="AM63" s="10"/>
      <c r="AN63" s="10"/>
      <c r="AO63" s="10"/>
      <c r="AP63" s="10"/>
      <c r="AQ63" s="10"/>
      <c r="AR63" s="10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S63" s="10"/>
      <c r="BT63" s="11"/>
      <c r="BU63" s="22"/>
      <c r="BV63" s="11"/>
      <c r="BW63" s="23"/>
    </row>
    <row r="64" spans="1:75"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L64" s="10"/>
      <c r="AM64" s="10"/>
      <c r="AN64" s="10"/>
      <c r="AO64" s="10"/>
      <c r="AP64" s="10"/>
      <c r="AQ64" s="10"/>
      <c r="AR64" s="10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S64" s="10"/>
      <c r="BT64" s="11"/>
      <c r="BU64" s="22"/>
      <c r="BV64" s="11"/>
      <c r="BW64" s="23"/>
    </row>
    <row r="65" spans="23:75"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L65" s="10"/>
      <c r="AM65" s="10"/>
      <c r="AN65" s="10"/>
      <c r="AO65" s="10"/>
      <c r="AP65" s="10"/>
      <c r="AQ65" s="10"/>
      <c r="AR65" s="10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S65" s="10"/>
      <c r="BT65" s="11"/>
      <c r="BU65" s="22"/>
      <c r="BV65" s="11"/>
      <c r="BW65" s="23"/>
    </row>
    <row r="66" spans="23:75"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L66" s="10"/>
      <c r="AM66" s="10"/>
      <c r="AN66" s="10"/>
      <c r="AO66" s="10"/>
      <c r="AP66" s="10"/>
      <c r="AQ66" s="10"/>
      <c r="AR66" s="10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S66" s="10"/>
      <c r="BT66" s="11"/>
      <c r="BU66" s="22"/>
      <c r="BV66" s="11"/>
      <c r="BW66" s="23"/>
    </row>
    <row r="67" spans="23:75"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L67" s="10"/>
      <c r="AM67" s="10"/>
      <c r="AN67" s="10"/>
      <c r="AO67" s="10"/>
      <c r="AP67" s="10"/>
      <c r="AQ67" s="10"/>
      <c r="AR67" s="10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S67" s="10"/>
      <c r="BT67" s="11"/>
      <c r="BU67" s="22"/>
      <c r="BV67" s="11"/>
      <c r="BW67" s="23"/>
    </row>
    <row r="68" spans="23:75"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L68" s="10"/>
      <c r="AM68" s="10"/>
      <c r="AN68" s="10"/>
      <c r="AO68" s="10"/>
      <c r="AP68" s="10"/>
      <c r="AQ68" s="10"/>
      <c r="AR68" s="10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S68" s="10"/>
      <c r="BT68" s="11"/>
      <c r="BU68" s="22"/>
      <c r="BV68" s="11"/>
      <c r="BW68" s="23"/>
    </row>
    <row r="69" spans="23:75"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L69" s="10"/>
      <c r="AM69" s="10"/>
      <c r="AN69" s="10"/>
      <c r="AO69" s="10"/>
      <c r="AP69" s="10"/>
      <c r="AQ69" s="10"/>
      <c r="AR69" s="10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S69" s="10"/>
      <c r="BT69" s="11"/>
      <c r="BU69" s="22"/>
      <c r="BV69" s="11"/>
      <c r="BW69" s="23"/>
    </row>
    <row r="70" spans="23:75"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L70" s="10"/>
      <c r="AM70" s="10"/>
      <c r="AN70" s="10"/>
      <c r="AO70" s="10"/>
      <c r="AP70" s="10"/>
      <c r="AQ70" s="10"/>
      <c r="AR70" s="10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S70" s="10"/>
      <c r="BT70" s="11"/>
      <c r="BU70" s="22"/>
      <c r="BV70" s="11"/>
      <c r="BW70" s="23"/>
    </row>
    <row r="71" spans="23:75"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L71" s="10"/>
      <c r="AM71" s="10"/>
      <c r="AN71" s="10"/>
      <c r="AO71" s="10"/>
      <c r="AP71" s="10"/>
      <c r="AQ71" s="10"/>
      <c r="AR71" s="10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S71" s="10"/>
      <c r="BT71" s="11"/>
      <c r="BU71" s="22"/>
      <c r="BV71" s="11"/>
      <c r="BW71" s="23"/>
    </row>
    <row r="72" spans="23:75"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L72" s="10"/>
      <c r="AM72" s="10"/>
      <c r="AN72" s="10"/>
      <c r="AO72" s="10"/>
      <c r="AP72" s="10"/>
      <c r="AQ72" s="10"/>
      <c r="AR72" s="10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S72" s="10"/>
      <c r="BT72" s="11"/>
      <c r="BU72" s="22"/>
      <c r="BV72" s="11"/>
      <c r="BW72" s="23"/>
    </row>
    <row r="73" spans="23:75"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L73" s="10"/>
      <c r="AM73" s="10"/>
      <c r="AN73" s="10"/>
      <c r="AO73" s="10"/>
      <c r="AP73" s="10"/>
      <c r="AQ73" s="10"/>
      <c r="AR73" s="10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S73" s="10"/>
      <c r="BT73" s="11"/>
      <c r="BU73" s="22"/>
      <c r="BV73" s="11"/>
      <c r="BW73" s="23"/>
    </row>
    <row r="74" spans="23:75"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L74" s="10"/>
      <c r="AM74" s="10"/>
      <c r="AN74" s="10"/>
      <c r="AO74" s="10"/>
      <c r="AP74" s="10"/>
      <c r="AQ74" s="10"/>
      <c r="AR74" s="10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S74" s="10"/>
      <c r="BT74" s="11"/>
      <c r="BU74" s="22"/>
      <c r="BV74" s="11"/>
      <c r="BW74" s="23"/>
    </row>
    <row r="75" spans="23:75"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L75" s="10"/>
      <c r="AM75" s="10"/>
      <c r="AN75" s="10"/>
      <c r="AO75" s="10"/>
      <c r="AP75" s="10"/>
      <c r="AQ75" s="10"/>
      <c r="AR75" s="10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S75" s="10"/>
      <c r="BT75" s="11"/>
      <c r="BU75" s="22"/>
      <c r="BV75" s="11"/>
      <c r="BW75" s="23"/>
    </row>
    <row r="76" spans="23:75"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L76" s="10"/>
      <c r="AM76" s="10"/>
      <c r="AN76" s="10"/>
      <c r="AO76" s="10"/>
      <c r="AP76" s="10"/>
      <c r="AQ76" s="10"/>
      <c r="AR76" s="10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S76" s="10"/>
      <c r="BT76" s="11"/>
      <c r="BU76" s="22"/>
      <c r="BV76" s="11"/>
      <c r="BW76" s="23"/>
    </row>
    <row r="77" spans="23:75"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L77" s="10"/>
      <c r="AM77" s="10"/>
      <c r="AN77" s="10"/>
      <c r="AO77" s="10"/>
      <c r="AP77" s="10"/>
      <c r="AQ77" s="10"/>
      <c r="AR77" s="10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S77" s="10"/>
      <c r="BT77" s="11"/>
      <c r="BU77" s="22"/>
      <c r="BV77" s="11"/>
      <c r="BW77" s="23"/>
    </row>
    <row r="78" spans="23:75"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L78" s="10"/>
      <c r="AM78" s="10"/>
      <c r="AN78" s="10"/>
      <c r="AO78" s="10"/>
      <c r="AP78" s="10"/>
      <c r="AQ78" s="10"/>
      <c r="AR78" s="10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S78" s="10"/>
      <c r="BT78" s="11"/>
      <c r="BU78" s="22"/>
      <c r="BV78" s="11"/>
      <c r="BW78" s="23"/>
    </row>
    <row r="79" spans="23:75"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L79" s="10"/>
      <c r="AM79" s="10"/>
      <c r="AN79" s="10"/>
      <c r="AO79" s="10"/>
      <c r="AP79" s="10"/>
      <c r="AQ79" s="10"/>
      <c r="AR79" s="10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S79" s="10"/>
      <c r="BT79" s="11"/>
      <c r="BU79" s="22"/>
      <c r="BV79" s="11"/>
      <c r="BW79" s="23"/>
    </row>
    <row r="80" spans="23:75"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L80" s="10"/>
      <c r="AM80" s="10"/>
      <c r="AN80" s="10"/>
      <c r="AO80" s="10"/>
      <c r="AP80" s="10"/>
      <c r="AQ80" s="10"/>
      <c r="AR80" s="10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S80" s="10"/>
      <c r="BT80" s="11"/>
      <c r="BU80" s="22"/>
      <c r="BV80" s="11"/>
      <c r="BW80" s="23"/>
    </row>
    <row r="81" spans="23:75"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L81" s="10"/>
      <c r="AM81" s="10"/>
      <c r="AN81" s="10"/>
      <c r="AO81" s="10"/>
      <c r="AP81" s="10"/>
      <c r="AQ81" s="10"/>
      <c r="AR81" s="10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S81" s="10"/>
      <c r="BT81" s="11"/>
      <c r="BU81" s="22"/>
      <c r="BV81" s="11"/>
      <c r="BW81" s="23"/>
    </row>
    <row r="82" spans="23:75"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L82" s="10"/>
      <c r="AM82" s="10"/>
      <c r="AN82" s="10"/>
      <c r="AO82" s="10"/>
      <c r="AP82" s="10"/>
      <c r="AQ82" s="10"/>
      <c r="AR82" s="10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S82" s="10"/>
      <c r="BT82" s="11"/>
      <c r="BU82" s="22"/>
      <c r="BV82" s="11"/>
      <c r="BW82" s="23"/>
    </row>
    <row r="83" spans="23:75"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L83" s="10"/>
      <c r="AM83" s="10"/>
      <c r="AN83" s="10"/>
      <c r="AO83" s="10"/>
      <c r="AP83" s="10"/>
      <c r="AQ83" s="10"/>
      <c r="AR83" s="10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S83" s="10"/>
      <c r="BT83" s="11"/>
      <c r="BU83" s="22"/>
      <c r="BV83" s="11"/>
      <c r="BW83" s="23"/>
    </row>
    <row r="84" spans="23:75"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L84" s="10"/>
      <c r="AM84" s="10"/>
      <c r="AN84" s="10"/>
      <c r="AO84" s="10"/>
      <c r="AP84" s="10"/>
      <c r="AQ84" s="10"/>
      <c r="AR84" s="10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S84" s="10"/>
      <c r="BT84" s="11"/>
      <c r="BU84" s="22"/>
      <c r="BV84" s="11"/>
      <c r="BW84" s="23"/>
    </row>
    <row r="85" spans="23:75"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L85" s="10"/>
      <c r="AM85" s="10"/>
      <c r="AN85" s="10"/>
      <c r="AO85" s="10"/>
      <c r="AP85" s="10"/>
      <c r="AQ85" s="10"/>
      <c r="AR85" s="10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S85" s="10"/>
      <c r="BT85" s="11"/>
      <c r="BU85" s="22"/>
      <c r="BV85" s="11"/>
      <c r="BW85" s="23"/>
    </row>
    <row r="86" spans="23:75"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L86" s="10"/>
      <c r="AM86" s="10"/>
      <c r="AN86" s="10"/>
      <c r="AO86" s="10"/>
      <c r="AP86" s="10"/>
      <c r="AQ86" s="10"/>
      <c r="AR86" s="10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S86" s="10"/>
      <c r="BT86" s="11"/>
      <c r="BU86" s="22"/>
      <c r="BV86" s="11"/>
      <c r="BW86" s="23"/>
    </row>
    <row r="87" spans="23:75"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L87" s="10"/>
      <c r="AM87" s="10"/>
      <c r="AN87" s="10"/>
      <c r="AO87" s="10"/>
      <c r="AP87" s="10"/>
      <c r="AQ87" s="10"/>
      <c r="AR87" s="10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S87" s="10"/>
      <c r="BT87" s="11"/>
      <c r="BU87" s="22"/>
      <c r="BV87" s="11"/>
      <c r="BW87" s="23"/>
    </row>
    <row r="88" spans="23:75"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L88" s="10"/>
      <c r="AM88" s="10"/>
      <c r="AN88" s="10"/>
      <c r="AO88" s="10"/>
      <c r="AP88" s="10"/>
      <c r="AQ88" s="10"/>
      <c r="AR88" s="10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S88" s="10"/>
      <c r="BT88" s="11"/>
      <c r="BU88" s="22"/>
      <c r="BV88" s="11"/>
      <c r="BW88" s="23"/>
    </row>
    <row r="89" spans="23:75"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L89" s="10"/>
      <c r="AM89" s="10"/>
      <c r="AN89" s="10"/>
      <c r="AO89" s="10"/>
      <c r="AP89" s="10"/>
      <c r="AQ89" s="10"/>
      <c r="AR89" s="10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S89" s="10"/>
      <c r="BT89" s="11"/>
      <c r="BU89" s="22"/>
      <c r="BV89" s="11"/>
      <c r="BW89" s="23"/>
    </row>
    <row r="90" spans="23:75"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L90" s="10"/>
      <c r="AM90" s="10"/>
      <c r="AN90" s="10"/>
      <c r="AO90" s="10"/>
      <c r="AP90" s="10"/>
      <c r="AQ90" s="10"/>
      <c r="AR90" s="10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S90" s="10"/>
      <c r="BT90" s="11"/>
      <c r="BU90" s="22"/>
      <c r="BV90" s="11"/>
      <c r="BW90" s="23"/>
    </row>
    <row r="91" spans="23:75"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L91" s="10"/>
      <c r="AM91" s="10"/>
      <c r="AN91" s="10"/>
      <c r="AO91" s="10"/>
      <c r="AP91" s="10"/>
      <c r="AQ91" s="10"/>
      <c r="AR91" s="10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S91" s="10"/>
      <c r="BT91" s="11"/>
      <c r="BU91" s="22"/>
      <c r="BV91" s="11"/>
      <c r="BW91" s="23"/>
    </row>
    <row r="92" spans="23:75"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L92" s="10"/>
      <c r="AM92" s="10"/>
      <c r="AN92" s="10"/>
      <c r="AO92" s="10"/>
      <c r="AP92" s="10"/>
      <c r="AQ92" s="10"/>
      <c r="AR92" s="10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S92" s="10"/>
      <c r="BT92" s="11"/>
      <c r="BU92" s="22"/>
      <c r="BV92" s="11"/>
      <c r="BW92" s="23"/>
    </row>
    <row r="93" spans="23:75"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L93" s="10"/>
      <c r="AM93" s="10"/>
      <c r="AN93" s="10"/>
      <c r="AO93" s="10"/>
      <c r="AP93" s="10"/>
      <c r="AQ93" s="10"/>
      <c r="AR93" s="10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S93" s="10"/>
      <c r="BT93" s="11"/>
      <c r="BU93" s="22"/>
      <c r="BV93" s="11"/>
      <c r="BW93" s="23"/>
    </row>
    <row r="94" spans="23:75"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L94" s="10"/>
      <c r="AM94" s="10"/>
      <c r="AN94" s="10"/>
      <c r="AO94" s="10"/>
      <c r="AP94" s="10"/>
      <c r="AQ94" s="10"/>
      <c r="AR94" s="10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S94" s="10"/>
      <c r="BT94" s="11"/>
      <c r="BU94" s="22"/>
      <c r="BV94" s="11"/>
      <c r="BW94" s="23"/>
    </row>
    <row r="95" spans="23:75"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L95" s="10"/>
      <c r="AM95" s="10"/>
      <c r="AN95" s="10"/>
      <c r="AO95" s="10"/>
      <c r="AP95" s="10"/>
      <c r="AQ95" s="10"/>
      <c r="AR95" s="10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S95" s="10"/>
      <c r="BT95" s="11"/>
      <c r="BU95" s="22"/>
      <c r="BV95" s="11"/>
      <c r="BW95" s="23"/>
    </row>
    <row r="96" spans="23:75"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L96" s="10"/>
      <c r="AM96" s="10"/>
      <c r="AN96" s="10"/>
      <c r="AO96" s="10"/>
      <c r="AP96" s="10"/>
      <c r="AQ96" s="10"/>
      <c r="AR96" s="10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S96" s="10"/>
      <c r="BT96" s="11"/>
      <c r="BU96" s="22"/>
      <c r="BV96" s="11"/>
      <c r="BW96" s="23"/>
    </row>
    <row r="97" spans="23:75"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L97" s="10"/>
      <c r="AM97" s="10"/>
      <c r="AN97" s="10"/>
      <c r="AO97" s="10"/>
      <c r="AP97" s="10"/>
      <c r="AQ97" s="10"/>
      <c r="AR97" s="10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S97" s="10"/>
      <c r="BT97" s="11"/>
      <c r="BU97" s="22"/>
      <c r="BV97" s="11"/>
      <c r="BW97" s="23"/>
    </row>
    <row r="98" spans="23:75"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L98" s="10"/>
      <c r="AM98" s="10"/>
      <c r="AN98" s="10"/>
      <c r="AO98" s="10"/>
      <c r="AP98" s="10"/>
      <c r="AQ98" s="10"/>
      <c r="AR98" s="10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S98" s="10"/>
      <c r="BT98" s="11"/>
      <c r="BU98" s="22"/>
      <c r="BV98" s="11"/>
      <c r="BW98" s="23"/>
    </row>
    <row r="99" spans="23:75"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L99" s="10"/>
      <c r="AM99" s="10"/>
      <c r="AN99" s="10"/>
      <c r="AO99" s="10"/>
      <c r="AP99" s="10"/>
      <c r="AQ99" s="10"/>
      <c r="AR99" s="10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S99" s="10"/>
      <c r="BT99" s="11"/>
      <c r="BU99" s="22"/>
      <c r="BV99" s="11"/>
      <c r="BW99" s="23"/>
    </row>
    <row r="100" spans="23:75"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L100" s="10"/>
      <c r="AM100" s="10"/>
      <c r="AN100" s="10"/>
      <c r="AO100" s="10"/>
      <c r="AP100" s="10"/>
      <c r="AQ100" s="10"/>
      <c r="AR100" s="10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S100" s="10"/>
      <c r="BT100" s="11"/>
      <c r="BU100" s="22"/>
      <c r="BV100" s="11"/>
      <c r="BW100" s="23"/>
    </row>
    <row r="101" spans="23:75"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L101" s="10"/>
      <c r="AM101" s="10"/>
      <c r="AN101" s="10"/>
      <c r="AO101" s="10"/>
      <c r="AP101" s="10"/>
      <c r="AQ101" s="10"/>
      <c r="AR101" s="10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S101" s="10"/>
      <c r="BT101" s="11"/>
      <c r="BU101" s="22"/>
      <c r="BV101" s="11"/>
      <c r="BW101" s="23"/>
    </row>
    <row r="102" spans="23:75"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L102" s="10"/>
      <c r="AM102" s="10"/>
      <c r="AN102" s="10"/>
      <c r="AO102" s="10"/>
      <c r="AP102" s="10"/>
      <c r="AQ102" s="10"/>
      <c r="AR102" s="10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S102" s="10"/>
      <c r="BT102" s="11"/>
      <c r="BU102" s="22"/>
      <c r="BV102" s="11"/>
      <c r="BW102" s="23"/>
    </row>
    <row r="103" spans="23:75"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L103" s="10"/>
      <c r="AM103" s="10"/>
      <c r="AN103" s="10"/>
      <c r="AO103" s="10"/>
      <c r="AP103" s="10"/>
      <c r="AQ103" s="10"/>
      <c r="AR103" s="10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S103" s="10"/>
      <c r="BT103" s="11"/>
      <c r="BU103" s="22"/>
      <c r="BV103" s="11"/>
      <c r="BW103" s="23"/>
    </row>
    <row r="104" spans="23:75"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L104" s="10"/>
      <c r="AM104" s="10"/>
      <c r="AN104" s="10"/>
      <c r="AO104" s="10"/>
      <c r="AP104" s="10"/>
      <c r="AQ104" s="10"/>
      <c r="AR104" s="10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S104" s="10"/>
      <c r="BT104" s="11"/>
      <c r="BU104" s="22"/>
      <c r="BV104" s="11"/>
      <c r="BW104" s="23"/>
    </row>
    <row r="105" spans="23:75"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L105" s="10"/>
      <c r="AM105" s="10"/>
      <c r="AN105" s="10"/>
      <c r="AO105" s="10"/>
      <c r="AP105" s="10"/>
      <c r="AQ105" s="10"/>
      <c r="AR105" s="10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S105" s="10"/>
      <c r="BT105" s="11"/>
      <c r="BU105" s="22"/>
      <c r="BV105" s="11"/>
      <c r="BW105" s="23"/>
    </row>
    <row r="106" spans="23:75"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L106" s="10"/>
      <c r="AM106" s="10"/>
      <c r="AN106" s="10"/>
      <c r="AO106" s="10"/>
      <c r="AP106" s="10"/>
      <c r="AQ106" s="10"/>
      <c r="AR106" s="10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S106" s="10"/>
      <c r="BT106" s="11"/>
      <c r="BU106" s="22"/>
      <c r="BV106" s="11"/>
      <c r="BW106" s="23"/>
    </row>
    <row r="107" spans="23:75"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L107" s="10"/>
      <c r="AM107" s="10"/>
      <c r="AN107" s="10"/>
      <c r="AO107" s="10"/>
      <c r="AP107" s="10"/>
      <c r="AQ107" s="10"/>
      <c r="AR107" s="10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S107" s="10"/>
      <c r="BT107" s="11"/>
      <c r="BU107" s="22"/>
      <c r="BV107" s="11"/>
      <c r="BW107" s="23"/>
    </row>
    <row r="108" spans="23:75"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L108" s="10"/>
      <c r="AM108" s="10"/>
      <c r="AN108" s="10"/>
      <c r="AO108" s="10"/>
      <c r="AP108" s="10"/>
      <c r="AQ108" s="10"/>
      <c r="AR108" s="10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S108" s="10"/>
      <c r="BT108" s="11"/>
      <c r="BU108" s="22"/>
      <c r="BV108" s="11"/>
      <c r="BW108" s="23"/>
    </row>
    <row r="109" spans="23:75"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L109" s="10"/>
      <c r="AM109" s="10"/>
      <c r="AN109" s="10"/>
      <c r="AO109" s="10"/>
      <c r="AP109" s="10"/>
      <c r="AQ109" s="10"/>
      <c r="AR109" s="10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S109" s="10"/>
      <c r="BT109" s="11"/>
      <c r="BU109" s="22"/>
      <c r="BV109" s="11"/>
      <c r="BW109" s="23"/>
    </row>
    <row r="110" spans="23:75"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L110" s="10"/>
      <c r="AM110" s="10"/>
      <c r="AN110" s="10"/>
      <c r="AO110" s="10"/>
      <c r="AP110" s="10"/>
      <c r="AQ110" s="10"/>
      <c r="AR110" s="10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S110" s="10"/>
      <c r="BT110" s="11"/>
      <c r="BU110" s="22"/>
      <c r="BV110" s="11"/>
      <c r="BW110" s="23"/>
    </row>
    <row r="111" spans="23:75"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L111" s="10"/>
      <c r="AM111" s="10"/>
      <c r="AN111" s="10"/>
      <c r="AO111" s="10"/>
      <c r="AP111" s="10"/>
      <c r="AQ111" s="10"/>
      <c r="AR111" s="10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S111" s="10"/>
      <c r="BT111" s="11"/>
      <c r="BU111" s="22"/>
      <c r="BV111" s="11"/>
      <c r="BW111" s="23"/>
    </row>
    <row r="112" spans="23:75"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L112" s="10"/>
      <c r="AM112" s="10"/>
      <c r="AN112" s="10"/>
      <c r="AO112" s="10"/>
      <c r="AP112" s="10"/>
      <c r="AQ112" s="10"/>
      <c r="AR112" s="10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S112" s="10"/>
      <c r="BT112" s="11"/>
      <c r="BU112" s="22"/>
      <c r="BV112" s="11"/>
      <c r="BW112" s="23"/>
    </row>
    <row r="113" spans="23:75"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L113" s="10"/>
      <c r="AM113" s="10"/>
      <c r="AN113" s="10"/>
      <c r="AO113" s="10"/>
      <c r="AP113" s="10"/>
      <c r="AQ113" s="10"/>
      <c r="AR113" s="10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S113" s="10"/>
      <c r="BT113" s="11"/>
      <c r="BU113" s="22"/>
      <c r="BV113" s="11"/>
      <c r="BW113" s="23"/>
    </row>
    <row r="114" spans="23:75"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L114" s="10"/>
      <c r="AM114" s="10"/>
      <c r="AN114" s="10"/>
      <c r="AO114" s="10"/>
      <c r="AP114" s="10"/>
      <c r="AQ114" s="10"/>
      <c r="AR114" s="10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S114" s="10"/>
      <c r="BT114" s="11"/>
      <c r="BU114" s="22"/>
      <c r="BV114" s="11"/>
      <c r="BW114" s="23"/>
    </row>
    <row r="115" spans="23:75"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L115" s="10"/>
      <c r="AM115" s="10"/>
      <c r="AN115" s="10"/>
      <c r="AO115" s="10"/>
      <c r="AP115" s="10"/>
      <c r="AQ115" s="10"/>
      <c r="AR115" s="10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S115" s="10"/>
      <c r="BT115" s="11"/>
      <c r="BU115" s="22"/>
      <c r="BV115" s="11"/>
      <c r="BW115" s="23"/>
    </row>
    <row r="116" spans="23:75"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L116" s="10"/>
      <c r="AM116" s="10"/>
      <c r="AN116" s="10"/>
      <c r="AO116" s="10"/>
      <c r="AP116" s="10"/>
      <c r="AQ116" s="10"/>
      <c r="AR116" s="10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S116" s="10"/>
      <c r="BT116" s="11"/>
      <c r="BU116" s="22"/>
      <c r="BV116" s="11"/>
      <c r="BW116" s="23"/>
    </row>
    <row r="117" spans="23:75"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L117" s="10"/>
      <c r="AM117" s="10"/>
      <c r="AN117" s="10"/>
      <c r="AO117" s="10"/>
      <c r="AP117" s="10"/>
      <c r="AQ117" s="10"/>
      <c r="AR117" s="10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S117" s="10"/>
      <c r="BT117" s="11"/>
      <c r="BU117" s="22"/>
      <c r="BV117" s="11"/>
      <c r="BW117" s="23"/>
    </row>
    <row r="118" spans="23:75"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L118" s="10"/>
      <c r="AM118" s="10"/>
      <c r="AN118" s="10"/>
      <c r="AO118" s="10"/>
      <c r="AP118" s="10"/>
      <c r="AQ118" s="10"/>
      <c r="AR118" s="10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S118" s="10"/>
      <c r="BT118" s="11"/>
      <c r="BU118" s="22"/>
      <c r="BV118" s="11"/>
      <c r="BW118" s="23"/>
    </row>
    <row r="119" spans="23:75"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L119" s="10"/>
      <c r="AM119" s="10"/>
      <c r="AN119" s="10"/>
      <c r="AO119" s="10"/>
      <c r="AP119" s="10"/>
      <c r="AQ119" s="10"/>
      <c r="AR119" s="10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S119" s="10"/>
      <c r="BT119" s="11"/>
      <c r="BU119" s="22"/>
      <c r="BV119" s="11"/>
      <c r="BW119" s="23"/>
    </row>
    <row r="120" spans="23:75"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L120" s="10"/>
      <c r="AM120" s="10"/>
      <c r="AN120" s="10"/>
      <c r="AO120" s="10"/>
      <c r="AP120" s="10"/>
      <c r="AQ120" s="10"/>
      <c r="AR120" s="10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S120" s="10"/>
      <c r="BT120" s="11"/>
      <c r="BU120" s="22"/>
      <c r="BV120" s="11"/>
      <c r="BW120" s="23"/>
    </row>
    <row r="121" spans="23:75"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L121" s="10"/>
      <c r="AM121" s="10"/>
      <c r="AN121" s="10"/>
      <c r="AO121" s="10"/>
      <c r="AP121" s="10"/>
      <c r="AQ121" s="10"/>
      <c r="AR121" s="10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S121" s="10"/>
      <c r="BT121" s="11"/>
      <c r="BU121" s="22"/>
      <c r="BV121" s="11"/>
      <c r="BW121" s="23"/>
    </row>
    <row r="122" spans="23:75"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L122" s="10"/>
      <c r="AM122" s="10"/>
      <c r="AN122" s="10"/>
      <c r="AO122" s="10"/>
      <c r="AP122" s="10"/>
      <c r="AQ122" s="10"/>
      <c r="AR122" s="10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S122" s="10"/>
      <c r="BT122" s="11"/>
      <c r="BU122" s="22"/>
      <c r="BV122" s="11"/>
      <c r="BW122" s="23"/>
    </row>
    <row r="123" spans="23:75"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L123" s="10"/>
      <c r="AM123" s="10"/>
      <c r="AN123" s="10"/>
      <c r="AO123" s="10"/>
      <c r="AP123" s="10"/>
      <c r="AQ123" s="10"/>
      <c r="AR123" s="10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S123" s="10"/>
      <c r="BT123" s="11"/>
      <c r="BU123" s="22"/>
      <c r="BV123" s="11"/>
      <c r="BW123" s="23"/>
    </row>
    <row r="124" spans="23:75"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L124" s="10"/>
      <c r="AM124" s="10"/>
      <c r="AN124" s="10"/>
      <c r="AO124" s="10"/>
      <c r="AP124" s="10"/>
      <c r="AQ124" s="10"/>
      <c r="AR124" s="10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S124" s="10"/>
      <c r="BT124" s="11"/>
      <c r="BU124" s="22"/>
      <c r="BV124" s="11"/>
      <c r="BW124" s="23"/>
    </row>
    <row r="125" spans="23:75"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L125" s="10"/>
      <c r="AM125" s="10"/>
      <c r="AN125" s="10"/>
      <c r="AO125" s="10"/>
      <c r="AP125" s="10"/>
      <c r="AQ125" s="10"/>
      <c r="AR125" s="10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S125" s="10"/>
      <c r="BT125" s="11"/>
      <c r="BU125" s="22"/>
      <c r="BV125" s="11"/>
      <c r="BW125" s="23"/>
    </row>
    <row r="126" spans="23:75"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L126" s="10"/>
      <c r="AM126" s="10"/>
      <c r="AN126" s="10"/>
      <c r="AO126" s="10"/>
      <c r="AP126" s="10"/>
      <c r="AQ126" s="10"/>
      <c r="AR126" s="10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S126" s="10"/>
      <c r="BT126" s="11"/>
      <c r="BU126" s="22"/>
      <c r="BV126" s="11"/>
      <c r="BW126" s="23"/>
    </row>
    <row r="127" spans="23:75"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L127" s="10"/>
      <c r="AM127" s="10"/>
      <c r="AN127" s="10"/>
      <c r="AO127" s="10"/>
      <c r="AP127" s="10"/>
      <c r="AQ127" s="10"/>
      <c r="AR127" s="10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S127" s="10"/>
      <c r="BT127" s="11"/>
      <c r="BU127" s="22"/>
      <c r="BV127" s="11"/>
      <c r="BW127" s="23"/>
    </row>
    <row r="128" spans="23:75"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L128" s="10"/>
      <c r="AM128" s="10"/>
      <c r="AN128" s="10"/>
      <c r="AO128" s="10"/>
      <c r="AP128" s="10"/>
      <c r="AQ128" s="10"/>
      <c r="AR128" s="10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S128" s="10"/>
      <c r="BT128" s="11"/>
      <c r="BU128" s="22"/>
      <c r="BV128" s="11"/>
      <c r="BW128" s="23"/>
    </row>
    <row r="129" spans="23:75"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L129" s="10"/>
      <c r="AM129" s="10"/>
      <c r="AN129" s="10"/>
      <c r="AO129" s="10"/>
      <c r="AP129" s="10"/>
      <c r="AQ129" s="10"/>
      <c r="AR129" s="10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S129" s="10"/>
      <c r="BT129" s="11"/>
      <c r="BU129" s="22"/>
      <c r="BV129" s="11"/>
      <c r="BW129" s="23"/>
    </row>
    <row r="130" spans="23:75"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L130" s="10"/>
      <c r="AM130" s="10"/>
      <c r="AN130" s="10"/>
      <c r="AO130" s="10"/>
      <c r="AP130" s="10"/>
      <c r="AQ130" s="10"/>
      <c r="AR130" s="10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S130" s="10"/>
      <c r="BT130" s="11"/>
      <c r="BU130" s="22"/>
      <c r="BV130" s="11"/>
      <c r="BW130" s="23"/>
    </row>
    <row r="131" spans="23:75"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L131" s="10"/>
      <c r="AM131" s="10"/>
      <c r="AN131" s="10"/>
      <c r="AO131" s="10"/>
      <c r="AP131" s="10"/>
      <c r="AQ131" s="10"/>
      <c r="AR131" s="10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S131" s="10"/>
      <c r="BT131" s="11"/>
      <c r="BU131" s="22"/>
      <c r="BV131" s="11"/>
      <c r="BW131" s="23"/>
    </row>
    <row r="132" spans="23:75"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L132" s="10"/>
      <c r="AM132" s="10"/>
      <c r="AN132" s="10"/>
      <c r="AO132" s="10"/>
      <c r="AP132" s="10"/>
      <c r="AQ132" s="10"/>
      <c r="AR132" s="10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S132" s="10"/>
      <c r="BT132" s="11"/>
      <c r="BU132" s="22"/>
      <c r="BV132" s="11"/>
      <c r="BW132" s="23"/>
    </row>
    <row r="133" spans="23:75"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L133" s="10"/>
      <c r="AM133" s="10"/>
      <c r="AN133" s="10"/>
      <c r="AO133" s="10"/>
      <c r="AP133" s="10"/>
      <c r="AQ133" s="10"/>
      <c r="AR133" s="10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S133" s="10"/>
      <c r="BT133" s="11"/>
      <c r="BU133" s="22"/>
      <c r="BV133" s="11"/>
      <c r="BW133" s="23"/>
    </row>
    <row r="134" spans="23:75">
      <c r="BT134" s="23"/>
    </row>
  </sheetData>
  <mergeCells count="12">
    <mergeCell ref="AS13:AY13"/>
    <mergeCell ref="BA13:BH13"/>
    <mergeCell ref="BJ13:BK13"/>
    <mergeCell ref="BM13:BO13"/>
    <mergeCell ref="BQ13:BW13"/>
    <mergeCell ref="BY13:BZ13"/>
    <mergeCell ref="A13:Q13"/>
    <mergeCell ref="S13:U13"/>
    <mergeCell ref="W13:AJ13"/>
    <mergeCell ref="AL13:AR13"/>
    <mergeCell ref="K16:Q16"/>
    <mergeCell ref="D16:J16"/>
  </mergeCells>
  <pageMargins left="0.7" right="0.7" top="0.75" bottom="0.75" header="0.3" footer="0.3"/>
  <pageSetup orientation="portrait" horizontalDpi="300" verticalDpi="300" r:id="rId1"/>
  <headerFooter>
    <oddHeader>&amp;R&amp;"Calibri"&amp;10&amp;K000000 Control Disclosure&amp;1#_x000D_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0C53D-4D5F-4B01-A4E7-F7F3907C65E8}">
  <sheetPr codeName="Sheet34"/>
  <dimension ref="A1:Z130"/>
  <sheetViews>
    <sheetView topLeftCell="A22" zoomScale="85" zoomScaleNormal="85" workbookViewId="0">
      <selection activeCell="A14" sqref="A14:B26"/>
    </sheetView>
  </sheetViews>
  <sheetFormatPr defaultRowHeight="14.5"/>
  <cols>
    <col min="1" max="2" width="15" customWidth="1"/>
    <col min="3" max="3" width="1.26953125" customWidth="1"/>
    <col min="4" max="4" width="19.1796875" bestFit="1" customWidth="1"/>
    <col min="5" max="5" width="1.26953125" customWidth="1"/>
    <col min="6" max="9" width="23.453125" customWidth="1"/>
    <col min="10" max="10" width="1.26953125" customWidth="1"/>
    <col min="12" max="14" width="15.36328125" customWidth="1"/>
    <col min="15" max="15" width="1.36328125" customWidth="1"/>
    <col min="16" max="18" width="15.36328125" customWidth="1"/>
    <col min="19" max="19" width="1.36328125" customWidth="1"/>
    <col min="20" max="22" width="12.453125" customWidth="1"/>
    <col min="23" max="23" width="1.1796875" customWidth="1"/>
    <col min="24" max="24" width="10.81640625" bestFit="1" customWidth="1"/>
    <col min="25" max="25" width="9.81640625" bestFit="1" customWidth="1"/>
    <col min="26" max="26" width="10.81640625" bestFit="1" customWidth="1"/>
  </cols>
  <sheetData>
    <row r="1" spans="1:26">
      <c r="A1" t="str" cm="1">
        <f t="array" aca="1" ref="A1" ca="1">CELL("filename",A1)</f>
        <v>C:\Sync\git_hub\vba_samplicity\[01_magnus_premres.xlsm]Summary</v>
      </c>
    </row>
    <row r="2" spans="1:26">
      <c r="A2" s="14" t="s">
        <v>256</v>
      </c>
    </row>
    <row r="3" spans="1:26">
      <c r="A3" s="14" t="s">
        <v>259</v>
      </c>
    </row>
    <row r="5" spans="1:26">
      <c r="F5" s="89">
        <v>2</v>
      </c>
      <c r="G5" s="89">
        <v>3</v>
      </c>
      <c r="H5" s="89">
        <v>4</v>
      </c>
    </row>
    <row r="7" spans="1:26">
      <c r="D7" s="45" t="s">
        <v>141</v>
      </c>
      <c r="F7" s="45" t="s">
        <v>207</v>
      </c>
      <c r="G7" s="45" t="s">
        <v>208</v>
      </c>
      <c r="H7" s="45" t="s">
        <v>233</v>
      </c>
    </row>
    <row r="8" spans="1:26">
      <c r="D8" s="81">
        <v>111</v>
      </c>
      <c r="F8" s="82" cm="1">
        <f t="array" ref="F8">IF(INDEX(_xlfn.ANCHORARRAY($F$14),$D$8,F$5)="__overall__",1,INDEX(_xlfn.ANCHORARRAY($F$14),$D$8,F$5))</f>
        <v>1</v>
      </c>
      <c r="G8" s="82" t="str" cm="1">
        <f t="array" ref="G8">IF(INDEX(_xlfn.ANCHORARRAY($F$14),$D$8,G$5)="__overall__","*",INDEX(_xlfn.ANCHORARRAY($F$14),$D$8,G$5))</f>
        <v>*</v>
      </c>
      <c r="H8" s="82" t="str" cm="1">
        <f t="array" ref="H8">INDEX(_xlfn.ANCHORARRAY($F$14),$D$8,H$5)</f>
        <v>calculated net charge</v>
      </c>
    </row>
    <row r="9" spans="1:26">
      <c r="L9" s="47"/>
      <c r="M9" s="47"/>
      <c r="N9" s="47"/>
      <c r="P9" s="47"/>
      <c r="Q9" s="47"/>
      <c r="R9" s="47"/>
      <c r="T9" s="47"/>
      <c r="U9" s="47"/>
      <c r="V9" s="47"/>
      <c r="X9" s="47"/>
      <c r="Y9" s="47"/>
      <c r="Z9" s="47"/>
    </row>
    <row r="10" spans="1:26">
      <c r="A10" s="127" t="s">
        <v>260</v>
      </c>
      <c r="B10" s="129"/>
      <c r="D10" s="54" t="s">
        <v>221</v>
      </c>
      <c r="F10" s="127" t="s">
        <v>261</v>
      </c>
      <c r="G10" s="128"/>
      <c r="H10" s="128"/>
      <c r="I10" s="129"/>
      <c r="K10" s="127" t="s">
        <v>252</v>
      </c>
      <c r="L10" s="128"/>
      <c r="M10" s="128"/>
      <c r="N10" s="129"/>
      <c r="P10" s="127" t="s">
        <v>253</v>
      </c>
      <c r="Q10" s="128"/>
      <c r="R10" s="129"/>
      <c r="T10" s="127" t="s">
        <v>254</v>
      </c>
      <c r="U10" s="128"/>
      <c r="V10" s="129"/>
      <c r="X10" s="139" t="s">
        <v>255</v>
      </c>
      <c r="Y10" s="140"/>
      <c r="Z10" s="141"/>
    </row>
    <row r="12" spans="1:26">
      <c r="L12" s="54" t="s">
        <v>209</v>
      </c>
      <c r="M12" s="54" t="s">
        <v>210</v>
      </c>
      <c r="N12" s="54" t="s">
        <v>203</v>
      </c>
      <c r="P12" s="54" t="s">
        <v>209</v>
      </c>
      <c r="Q12" s="54" t="s">
        <v>210</v>
      </c>
      <c r="R12" s="54" t="s">
        <v>203</v>
      </c>
      <c r="T12" s="54" t="s">
        <v>209</v>
      </c>
      <c r="U12" s="54" t="s">
        <v>210</v>
      </c>
      <c r="V12" s="54" t="s">
        <v>203</v>
      </c>
      <c r="X12" s="54" t="s">
        <v>209</v>
      </c>
      <c r="Y12" s="54" t="s">
        <v>210</v>
      </c>
      <c r="Z12" s="54" t="s">
        <v>203</v>
      </c>
    </row>
    <row r="13" spans="1:26">
      <c r="A13" s="80" t="s">
        <v>207</v>
      </c>
      <c r="B13" s="80" t="s">
        <v>208</v>
      </c>
      <c r="D13" s="80" t="s">
        <v>221</v>
      </c>
      <c r="F13" s="80" t="s">
        <v>211</v>
      </c>
      <c r="G13" s="80" t="s">
        <v>207</v>
      </c>
      <c r="H13" s="80" t="s">
        <v>208</v>
      </c>
      <c r="I13" s="80" t="s">
        <v>233</v>
      </c>
      <c r="K13" s="10"/>
      <c r="L13" s="99" cm="1">
        <f t="array" ref="L13:N13">TRANSPOSE('PremRes Replication'!$BZ$23:$BZ$25)</f>
        <v>18775007.631600838</v>
      </c>
      <c r="M13" s="99">
        <v>7054112.7114529191</v>
      </c>
      <c r="N13" s="99">
        <v>23213147.350329429</v>
      </c>
    </row>
    <row r="14" spans="1:26">
      <c r="A14" s="3" cm="1">
        <f t="array" ref="A14:B26">_xlfn.LET(
    _xlpm.division1, _xlfn.UNIQUE(tPremRes[level_1]),
    _xlpm.division2, _xlfn.UNIQUE(tPremRes[level_2]),
    _xlpm.div_1_filt, _xlfn._xlws.FILTER(_xlpm.division1,_xlpm.division1&lt;&gt;0),
    _xlpm.div_2_filt, _xlfn._xlws.FILTER(_xlpm.division2,_xlpm.division2&lt;&gt;0),
        _xlfn.VSTACK(
            _xlfn.HSTACK(_xlfn.SEQUENCE(ROWS(_xlpm.div_1_filt), 1, 1, 0), _xlpm.div_1_filt),
            _xlfn.HSTACK(_xlfn.SEQUENCE(ROWS(_xlpm.div_2_filt), 1, 2, 0), _xlpm.div_2_filt),
            {"__overall__","__overall__"}
        )
)</f>
        <v>1</v>
      </c>
      <c r="B14" s="3" t="str">
        <v>direct</v>
      </c>
      <c r="D14" s="142" t="str" cm="1">
        <f t="array" ref="D14:D22">_xlfn.VSTACK("gross charge","net charge","calculated net charge",_xlfn.UNIQUE(tReinsurance[counterparty_id]))</f>
        <v>gross charge</v>
      </c>
      <c r="F14" s="3" cm="1">
        <f t="array" ref="F14:I130">_xlfn.LET(
_xlpm.divisions,_xlfn.ANCHORARRAY(A14),_xlpm.reinsurance,_xlfn.ANCHORARRAY(D14),_xlpm.row_div,ROWS(_xlpm.divisions),_xlpm.row_ri,ROWS(_xlpm.reinsurance),_xlpm.calc_count,_xlfn.SEQUENCE(_xlpm.row_div*_xlpm.row_ri,1,1,1),
_xlfn.MAKEARRAY(_xlpm.row_div*_xlpm.row_ri, 4,
_xlfn.LAMBDA(_xlpm.r,_xlpm.c, _xlfn.IFS(
    _xlpm.c=1,INDEX(_xlpm.calc_count,_xlpm.r,1),
    _xlpm.c&lt;4, INDEX(_xlpm.divisions, INT((_xlpm.r-1)/_xlpm.row_ri)+1,_xlpm.c-1),
    TRUE, INDEX(_xlpm.reinsurance, MOD(_xlpm.r-1,_xlpm.row_ri)+1,0) )
   ) ) )</f>
        <v>1</v>
      </c>
      <c r="G14" s="3">
        <v>1</v>
      </c>
      <c r="H14" s="3" t="str">
        <v>direct</v>
      </c>
      <c r="I14" s="3" t="str">
        <v>gross charge</v>
      </c>
      <c r="K14" s="12" cm="1">
        <f t="array" ref="K14:K130">INDEX(_xlfn.ANCHORARRAY(F14),0,1)</f>
        <v>1</v>
      </c>
      <c r="L14" s="12">
        <f t="dataTable" ref="L14:N130" dt2D="0" dtr="0" r1="D8"/>
        <v>12293637.195698854</v>
      </c>
      <c r="M14" s="12">
        <v>4171479.8447334501</v>
      </c>
      <c r="N14" s="12">
        <v>14834028.884441206</v>
      </c>
      <c r="O14" s="10"/>
      <c r="P14" s="12">
        <f t="shared" ref="P14:P77" si="0">IF(OR($I14="gross charge",$I14="net charge",$I14="calculated net charge"),L14,L14-SUMIFS(L$14:L$130,$G$14:$G$130,$G14,$H$14:$H$130,$H14,$I$14:$I$130,"calculated net charge"))</f>
        <v>12293637.195698854</v>
      </c>
      <c r="Q14" s="12">
        <f t="shared" ref="Q14:Q45" si="1">IF(OR($I14="gross charge",$I14="net charge",$I14="calculated net charge"),M14,M14-SUMIFS(M$14:M$130,$G$14:$G$130,$G14,$H$14:$H$130,$H14,$I$14:$I$130,"calculated net charge"))</f>
        <v>4171479.8447334501</v>
      </c>
      <c r="R14" s="12">
        <f t="shared" ref="R14:R77" si="2">IF(OR($I14="gross charge",$I14="net charge",$I14="calculated net charge"),N14,N14-SUMIFS(N$14:N$130,$G$14:$G$130,$G14,$H$14:$H$130,$H14,$I$14:$I$130,"calculated net charge"))</f>
        <v>14834028.884441206</v>
      </c>
      <c r="S14" s="11"/>
      <c r="T14" s="12" cm="1">
        <f t="array" ref="T14">_xlfn.IFS($G14="__overall__",
SUMIFS(PremRes!$G$8:$G$208,PremRes!$B$8:$B$208,$G14,PremRes!$C$8:$C$208,$H14,PremRes!$F$8:$F$208,$I14,PremRes!$D$8:$D$208,T$12),
TRUE,
SUMIFS(PremRes!$G$8:$G$208,PremRes!$B$8:$B$208,"level_"&amp;$G14,PremRes!$C$8:$C$208,$H14,PremRes!$F$8:$F$208,$I14,PremRes!$D$8:$D$208,T$12))</f>
        <v>12293637.195698854</v>
      </c>
      <c r="U14" s="12" cm="1">
        <f t="array" ref="U14">_xlfn.IFS($G14="__overall__",
SUMIFS(PremRes!$G$8:$G$208,PremRes!$B$8:$B$208,$G14,PremRes!$C$8:$C$208,$H14,PremRes!$F$8:$F$208,$I14,PremRes!$D$8:$D$208,U$12),
TRUE,
SUMIFS(PremRes!$G$8:$G$208,PremRes!$B$8:$B$208,"level_"&amp;$G14,PremRes!$C$8:$C$208,$H14,PremRes!$F$8:$F$208,$I14,PremRes!$D$8:$D$208,U$12))</f>
        <v>4171479.8447334501</v>
      </c>
      <c r="V14" s="12" cm="1">
        <f t="array" ref="V14">_xlfn.IFS($G14="__overall__",
SUMIFS(PremRes!$G$8:$G$208,PremRes!$B$8:$B$208,$G14,PremRes!$C$8:$C$208,$H14,PremRes!$F$8:$F$208,$I14,PremRes!$D$8:$D$208,V$12),
TRUE,
SUMIFS(PremRes!$G$8:$G$208,PremRes!$B$8:$B$208,"level_"&amp;$G14,PremRes!$C$8:$C$208,$H14,PremRes!$F$8:$F$208,$I14,PremRes!$D$8:$D$208,V$12))</f>
        <v>14834028.884441206</v>
      </c>
      <c r="X14" s="100">
        <f>P14-T14</f>
        <v>0</v>
      </c>
      <c r="Y14" s="100">
        <f t="shared" ref="Y14:Y77" si="3">Q14-U14</f>
        <v>0</v>
      </c>
      <c r="Z14" s="100">
        <f t="shared" ref="Z14:Z77" si="4">R14-V14</f>
        <v>0</v>
      </c>
    </row>
    <row r="15" spans="1:26">
      <c r="A15" s="4">
        <v>1</v>
      </c>
      <c r="B15" s="4" t="str">
        <v>intermediated</v>
      </c>
      <c r="D15" s="143" t="str">
        <v>net charge</v>
      </c>
      <c r="F15" s="4">
        <v>2</v>
      </c>
      <c r="G15" s="4">
        <v>1</v>
      </c>
      <c r="H15" s="4" t="str">
        <v>direct</v>
      </c>
      <c r="I15" s="4" t="str">
        <v>net charge</v>
      </c>
      <c r="K15" s="13">
        <v>2</v>
      </c>
      <c r="L15" s="13">
        <v>11016027.850888548</v>
      </c>
      <c r="M15" s="13">
        <v>3720456.2583134659</v>
      </c>
      <c r="N15" s="13">
        <v>13279733.535143137</v>
      </c>
      <c r="O15" s="10"/>
      <c r="P15" s="13">
        <f t="shared" si="0"/>
        <v>11016027.850888548</v>
      </c>
      <c r="Q15" s="13">
        <f t="shared" si="1"/>
        <v>3720456.2583134659</v>
      </c>
      <c r="R15" s="13">
        <f t="shared" si="2"/>
        <v>13279733.535143137</v>
      </c>
      <c r="S15" s="11"/>
      <c r="T15" s="13" cm="1">
        <f t="array" ref="T15">_xlfn.IFS($G15="__overall__",
SUMIFS(PremRes!$G$8:$G$208,PremRes!$B$8:$B$208,$G15,PremRes!$C$8:$C$208,$H15,PremRes!$F$8:$F$208,$I15,PremRes!$D$8:$D$208,T$12),
TRUE,
SUMIFS(PremRes!$G$8:$G$208,PremRes!$B$8:$B$208,"level_"&amp;$G15,PremRes!$C$8:$C$208,$H15,PremRes!$F$8:$F$208,$I15,PremRes!$D$8:$D$208,T$12))</f>
        <v>11016027.85088855</v>
      </c>
      <c r="U15" s="13" cm="1">
        <f t="array" ref="U15">_xlfn.IFS($G15="__overall__",
SUMIFS(PremRes!$G$8:$G$208,PremRes!$B$8:$B$208,$G15,PremRes!$C$8:$C$208,$H15,PremRes!$F$8:$F$208,$I15,PremRes!$D$8:$D$208,U$12),
TRUE,
SUMIFS(PremRes!$G$8:$G$208,PremRes!$B$8:$B$208,"level_"&amp;$G15,PremRes!$C$8:$C$208,$H15,PremRes!$F$8:$F$208,$I15,PremRes!$D$8:$D$208,U$12))</f>
        <v>3720456.2583134649</v>
      </c>
      <c r="V15" s="13" cm="1">
        <f t="array" ref="V15">_xlfn.IFS($G15="__overall__",
SUMIFS(PremRes!$G$8:$G$208,PremRes!$B$8:$B$208,$G15,PremRes!$C$8:$C$208,$H15,PremRes!$F$8:$F$208,$I15,PremRes!$D$8:$D$208,V$12),
TRUE,
SUMIFS(PremRes!$G$8:$G$208,PremRes!$B$8:$B$208,"level_"&amp;$G15,PremRes!$C$8:$C$208,$H15,PremRes!$F$8:$F$208,$I15,PremRes!$D$8:$D$208,V$12))</f>
        <v>13279733.535143133</v>
      </c>
      <c r="X15" s="101">
        <f t="shared" ref="X15:X78" si="5">P15-T15</f>
        <v>0</v>
      </c>
      <c r="Y15" s="101">
        <f t="shared" si="3"/>
        <v>0</v>
      </c>
      <c r="Z15" s="101">
        <f t="shared" si="4"/>
        <v>0</v>
      </c>
    </row>
    <row r="16" spans="1:26">
      <c r="A16" s="4">
        <v>1</v>
      </c>
      <c r="B16" s="4" t="str">
        <v>specialised</v>
      </c>
      <c r="D16" s="143" t="str">
        <v>calculated net charge</v>
      </c>
      <c r="F16" s="4">
        <v>3</v>
      </c>
      <c r="G16" s="4">
        <v>1</v>
      </c>
      <c r="H16" s="4" t="str">
        <v>direct</v>
      </c>
      <c r="I16" s="4" t="str">
        <v>calculated net charge</v>
      </c>
      <c r="K16" s="13">
        <v>3</v>
      </c>
      <c r="L16" s="13">
        <v>11129914.951851647</v>
      </c>
      <c r="M16" s="13">
        <v>3759233.1292030108</v>
      </c>
      <c r="N16" s="13">
        <v>13417309.539193762</v>
      </c>
      <c r="O16" s="10"/>
      <c r="P16" s="13">
        <f t="shared" si="0"/>
        <v>11129914.951851647</v>
      </c>
      <c r="Q16" s="13">
        <f t="shared" si="1"/>
        <v>3759233.1292030108</v>
      </c>
      <c r="R16" s="13">
        <f t="shared" si="2"/>
        <v>13417309.539193762</v>
      </c>
      <c r="S16" s="11"/>
      <c r="T16" s="13" cm="1">
        <f t="array" ref="T16">_xlfn.IFS($G16="__overall__",
SUMIFS(PremRes!$G$8:$G$208,PremRes!$B$8:$B$208,$G16,PremRes!$C$8:$C$208,$H16,PremRes!$F$8:$F$208,$I16,PremRes!$D$8:$D$208,T$12),
TRUE,
SUMIFS(PremRes!$G$8:$G$208,PremRes!$B$8:$B$208,"level_"&amp;$G16,PremRes!$C$8:$C$208,$H16,PremRes!$F$8:$F$208,$I16,PremRes!$D$8:$D$208,T$12))</f>
        <v>11129914.951851649</v>
      </c>
      <c r="U16" s="13" cm="1">
        <f t="array" ref="U16">_xlfn.IFS($G16="__overall__",
SUMIFS(PremRes!$G$8:$G$208,PremRes!$B$8:$B$208,$G16,PremRes!$C$8:$C$208,$H16,PremRes!$F$8:$F$208,$I16,PremRes!$D$8:$D$208,U$12),
TRUE,
SUMIFS(PremRes!$G$8:$G$208,PremRes!$B$8:$B$208,"level_"&amp;$G16,PremRes!$C$8:$C$208,$H16,PremRes!$F$8:$F$208,$I16,PremRes!$D$8:$D$208,U$12))</f>
        <v>3759233.1292030094</v>
      </c>
      <c r="V16" s="13" cm="1">
        <f t="array" ref="V16">_xlfn.IFS($G16="__overall__",
SUMIFS(PremRes!$G$8:$G$208,PremRes!$B$8:$B$208,$G16,PremRes!$C$8:$C$208,$H16,PremRes!$F$8:$F$208,$I16,PremRes!$D$8:$D$208,V$12),
TRUE,
SUMIFS(PremRes!$G$8:$G$208,PremRes!$B$8:$B$208,"level_"&amp;$G16,PremRes!$C$8:$C$208,$H16,PremRes!$F$8:$F$208,$I16,PremRes!$D$8:$D$208,V$12))</f>
        <v>13417309.539193764</v>
      </c>
      <c r="X16" s="101">
        <f t="shared" si="5"/>
        <v>0</v>
      </c>
      <c r="Y16" s="101">
        <f t="shared" si="3"/>
        <v>0</v>
      </c>
      <c r="Z16" s="101">
        <f t="shared" si="4"/>
        <v>0</v>
      </c>
    </row>
    <row r="17" spans="1:26">
      <c r="A17" s="4">
        <v>1</v>
      </c>
      <c r="B17" s="4" t="str">
        <v>partnerships</v>
      </c>
      <c r="D17" s="143" t="str">
        <v>company_a</v>
      </c>
      <c r="F17" s="4">
        <v>4</v>
      </c>
      <c r="G17" s="4">
        <v>1</v>
      </c>
      <c r="H17" s="4" t="str">
        <v>direct</v>
      </c>
      <c r="I17" s="4" t="str">
        <v>company_a</v>
      </c>
      <c r="K17" s="13">
        <v>4</v>
      </c>
      <c r="L17" s="13">
        <v>11594646.677995017</v>
      </c>
      <c r="M17" s="13">
        <v>3901085.2260196507</v>
      </c>
      <c r="N17" s="13">
        <v>13967261.729092173</v>
      </c>
      <c r="O17" s="10"/>
      <c r="P17" s="13">
        <f t="shared" si="0"/>
        <v>464731.72614336945</v>
      </c>
      <c r="Q17" s="13">
        <f>IF(OR($I17="gross charge",$I17="net charge",$I17="calculated net charge"),M17,M17-SUMIFS(M$14:M$130,$G$14:$G$130,$G17,$H$14:$H$130,$H17,$I$14:$I$130,"calculated net charge"))</f>
        <v>141852.09681663988</v>
      </c>
      <c r="R17" s="13">
        <f t="shared" si="2"/>
        <v>549952.18989841081</v>
      </c>
      <c r="S17" s="11"/>
      <c r="T17" s="13" cm="1">
        <f t="array" ref="T17">_xlfn.IFS($G17="__overall__",
SUMIFS(PremRes!$G$8:$G$208,PremRes!$B$8:$B$208,$G17,PremRes!$C$8:$C$208,$H17,PremRes!$F$8:$F$208,$I17,PremRes!$D$8:$D$208,T$12),
TRUE,
SUMIFS(PremRes!$G$8:$G$208,PremRes!$B$8:$B$208,"level_"&amp;$G17,PremRes!$C$8:$C$208,$H17,PremRes!$F$8:$F$208,$I17,PremRes!$D$8:$D$208,T$12))</f>
        <v>464731.72614336759</v>
      </c>
      <c r="U17" s="13" cm="1">
        <f t="array" ref="U17">_xlfn.IFS($G17="__overall__",
SUMIFS(PremRes!$G$8:$G$208,PremRes!$B$8:$B$208,$G17,PremRes!$C$8:$C$208,$H17,PremRes!$F$8:$F$208,$I17,PremRes!$D$8:$D$208,U$12),
TRUE,
SUMIFS(PremRes!$G$8:$G$208,PremRes!$B$8:$B$208,"level_"&amp;$G17,PremRes!$C$8:$C$208,$H17,PremRes!$F$8:$F$208,$I17,PremRes!$D$8:$D$208,U$12))</f>
        <v>141852.09681664081</v>
      </c>
      <c r="V17" s="13" cm="1">
        <f t="array" ref="V17">_xlfn.IFS($G17="__overall__",
SUMIFS(PremRes!$G$8:$G$208,PremRes!$B$8:$B$208,$G17,PremRes!$C$8:$C$208,$H17,PremRes!$F$8:$F$208,$I17,PremRes!$D$8:$D$208,V$12),
TRUE,
SUMIFS(PremRes!$G$8:$G$208,PremRes!$B$8:$B$208,"level_"&amp;$G17,PremRes!$C$8:$C$208,$H17,PremRes!$F$8:$F$208,$I17,PremRes!$D$8:$D$208,V$12))</f>
        <v>549952.18989840895</v>
      </c>
      <c r="X17" s="101">
        <f t="shared" si="5"/>
        <v>1.862645149230957E-9</v>
      </c>
      <c r="Y17" s="101">
        <f t="shared" si="3"/>
        <v>-9.3132257461547852E-10</v>
      </c>
      <c r="Z17" s="101">
        <f t="shared" si="4"/>
        <v>1.862645149230957E-9</v>
      </c>
    </row>
    <row r="18" spans="1:26">
      <c r="A18" s="4">
        <v>2</v>
      </c>
      <c r="B18" s="4" t="str">
        <v>gauteng</v>
      </c>
      <c r="D18" s="143" t="str">
        <v>company_b</v>
      </c>
      <c r="F18" s="4">
        <v>5</v>
      </c>
      <c r="G18" s="4">
        <v>1</v>
      </c>
      <c r="H18" s="4" t="str">
        <v>direct</v>
      </c>
      <c r="I18" s="4" t="str">
        <v>company_b</v>
      </c>
      <c r="K18" s="13">
        <v>5</v>
      </c>
      <c r="L18" s="13">
        <v>11613629.628720665</v>
      </c>
      <c r="M18" s="13">
        <v>3927261.214539845</v>
      </c>
      <c r="N18" s="13">
        <v>14003916.787360579</v>
      </c>
      <c r="O18" s="10"/>
      <c r="P18" s="13">
        <f t="shared" si="0"/>
        <v>483714.676869018</v>
      </c>
      <c r="Q18" s="13">
        <f t="shared" ref="Q18:Q81" si="6">IF(OR($I18="gross charge",$I18="net charge",$I18="calculated net charge"),M18,M18-SUMIFS(M$14:M$130,$G$14:$G$130,$G18,$H$14:$H$130,$H18,$I$14:$I$130,"calculated net charge"))</f>
        <v>168028.08533683419</v>
      </c>
      <c r="R18" s="13">
        <f t="shared" si="2"/>
        <v>586607.24816681631</v>
      </c>
      <c r="S18" s="11"/>
      <c r="T18" s="13" cm="1">
        <f t="array" ref="T18">_xlfn.IFS($G18="__overall__",
SUMIFS(PremRes!$G$8:$G$208,PremRes!$B$8:$B$208,$G18,PremRes!$C$8:$C$208,$H18,PremRes!$F$8:$F$208,$I18,PremRes!$D$8:$D$208,T$12),
TRUE,
SUMIFS(PremRes!$G$8:$G$208,PremRes!$B$8:$B$208,"level_"&amp;$G18,PremRes!$C$8:$C$208,$H18,PremRes!$F$8:$F$208,$I18,PremRes!$D$8:$D$208,T$12))</f>
        <v>483714.67686901614</v>
      </c>
      <c r="U18" s="13" cm="1">
        <f t="array" ref="U18">_xlfn.IFS($G18="__overall__",
SUMIFS(PremRes!$G$8:$G$208,PremRes!$B$8:$B$208,$G18,PremRes!$C$8:$C$208,$H18,PremRes!$F$8:$F$208,$I18,PremRes!$D$8:$D$208,U$12),
TRUE,
SUMIFS(PremRes!$G$8:$G$208,PremRes!$B$8:$B$208,"level_"&amp;$G18,PremRes!$C$8:$C$208,$H18,PremRes!$F$8:$F$208,$I18,PremRes!$D$8:$D$208,U$12))</f>
        <v>168028.08533683512</v>
      </c>
      <c r="V18" s="13" cm="1">
        <f t="array" ref="V18">_xlfn.IFS($G18="__overall__",
SUMIFS(PremRes!$G$8:$G$208,PremRes!$B$8:$B$208,$G18,PremRes!$C$8:$C$208,$H18,PremRes!$F$8:$F$208,$I18,PremRes!$D$8:$D$208,V$12),
TRUE,
SUMIFS(PremRes!$G$8:$G$208,PremRes!$B$8:$B$208,"level_"&amp;$G18,PremRes!$C$8:$C$208,$H18,PremRes!$F$8:$F$208,$I18,PremRes!$D$8:$D$208,V$12))</f>
        <v>586607.24816681445</v>
      </c>
      <c r="X18" s="101">
        <f t="shared" si="5"/>
        <v>1.862645149230957E-9</v>
      </c>
      <c r="Y18" s="101">
        <f t="shared" si="3"/>
        <v>-9.3132257461547852E-10</v>
      </c>
      <c r="Z18" s="101">
        <f t="shared" si="4"/>
        <v>1.862645149230957E-9</v>
      </c>
    </row>
    <row r="19" spans="1:26">
      <c r="A19" s="4">
        <v>2</v>
      </c>
      <c r="B19" s="4" t="str">
        <v>kzn</v>
      </c>
      <c r="D19" s="143" t="str">
        <v>company_c</v>
      </c>
      <c r="F19" s="4">
        <v>6</v>
      </c>
      <c r="G19" s="4">
        <v>1</v>
      </c>
      <c r="H19" s="4" t="str">
        <v>direct</v>
      </c>
      <c r="I19" s="4" t="str">
        <v>company_c</v>
      </c>
      <c r="K19" s="13">
        <v>6</v>
      </c>
      <c r="L19" s="13">
        <v>11335368.626762604</v>
      </c>
      <c r="M19" s="13">
        <v>3858885.9097319939</v>
      </c>
      <c r="N19" s="13">
        <v>13686167.764331678</v>
      </c>
      <c r="O19" s="10"/>
      <c r="P19" s="13">
        <f t="shared" si="0"/>
        <v>205453.67491095699</v>
      </c>
      <c r="Q19" s="13">
        <f t="shared" si="6"/>
        <v>99652.780528983101</v>
      </c>
      <c r="R19" s="13">
        <f t="shared" si="2"/>
        <v>268858.22513791546</v>
      </c>
      <c r="S19" s="11"/>
      <c r="T19" s="13" cm="1">
        <f t="array" ref="T19">_xlfn.IFS($G19="__overall__",
SUMIFS(PremRes!$G$8:$G$208,PremRes!$B$8:$B$208,$G19,PremRes!$C$8:$C$208,$H19,PremRes!$F$8:$F$208,$I19,PremRes!$D$8:$D$208,T$12),
TRUE,
SUMIFS(PremRes!$G$8:$G$208,PremRes!$B$8:$B$208,"level_"&amp;$G19,PremRes!$C$8:$C$208,$H19,PremRes!$F$8:$F$208,$I19,PremRes!$D$8:$D$208,T$12))</f>
        <v>205453.67491095513</v>
      </c>
      <c r="U19" s="13" cm="1">
        <f t="array" ref="U19">_xlfn.IFS($G19="__overall__",
SUMIFS(PremRes!$G$8:$G$208,PremRes!$B$8:$B$208,$G19,PremRes!$C$8:$C$208,$H19,PremRes!$F$8:$F$208,$I19,PremRes!$D$8:$D$208,U$12),
TRUE,
SUMIFS(PremRes!$G$8:$G$208,PremRes!$B$8:$B$208,"level_"&amp;$G19,PremRes!$C$8:$C$208,$H19,PremRes!$F$8:$F$208,$I19,PremRes!$D$8:$D$208,U$12))</f>
        <v>99652.780528984033</v>
      </c>
      <c r="V19" s="13" cm="1">
        <f t="array" ref="V19">_xlfn.IFS($G19="__overall__",
SUMIFS(PremRes!$G$8:$G$208,PremRes!$B$8:$B$208,$G19,PremRes!$C$8:$C$208,$H19,PremRes!$F$8:$F$208,$I19,PremRes!$D$8:$D$208,V$12),
TRUE,
SUMIFS(PremRes!$G$8:$G$208,PremRes!$B$8:$B$208,"level_"&amp;$G19,PremRes!$C$8:$C$208,$H19,PremRes!$F$8:$F$208,$I19,PremRes!$D$8:$D$208,V$12))</f>
        <v>268858.22513791174</v>
      </c>
      <c r="X19" s="101">
        <f t="shared" si="5"/>
        <v>1.862645149230957E-9</v>
      </c>
      <c r="Y19" s="101">
        <f t="shared" si="3"/>
        <v>-9.3132257461547852E-10</v>
      </c>
      <c r="Z19" s="101">
        <f t="shared" si="4"/>
        <v>3.7252902984619141E-9</v>
      </c>
    </row>
    <row r="20" spans="1:26">
      <c r="A20" s="4">
        <v>2</v>
      </c>
      <c r="B20" s="4" t="str">
        <v>western cape</v>
      </c>
      <c r="D20" s="143" t="str">
        <v>company_d</v>
      </c>
      <c r="F20" s="4">
        <v>7</v>
      </c>
      <c r="G20" s="4">
        <v>1</v>
      </c>
      <c r="H20" s="4" t="str">
        <v>direct</v>
      </c>
      <c r="I20" s="4" t="str">
        <v>company_d</v>
      </c>
      <c r="K20" s="13">
        <v>7</v>
      </c>
      <c r="L20" s="13">
        <v>11129914.951851647</v>
      </c>
      <c r="M20" s="13">
        <v>3759233.1292030108</v>
      </c>
      <c r="N20" s="13">
        <v>13417309.539193762</v>
      </c>
      <c r="O20" s="10"/>
      <c r="P20" s="13">
        <f t="shared" si="0"/>
        <v>0</v>
      </c>
      <c r="Q20" s="13">
        <f t="shared" si="6"/>
        <v>0</v>
      </c>
      <c r="R20" s="13">
        <f t="shared" si="2"/>
        <v>0</v>
      </c>
      <c r="S20" s="11"/>
      <c r="T20" s="13" cm="1">
        <f t="array" ref="T20">_xlfn.IFS($G20="__overall__",
SUMIFS(PremRes!$G$8:$G$208,PremRes!$B$8:$B$208,$G20,PremRes!$C$8:$C$208,$H20,PremRes!$F$8:$F$208,$I20,PremRes!$D$8:$D$208,T$12),
TRUE,
SUMIFS(PremRes!$G$8:$G$208,PremRes!$B$8:$B$208,"level_"&amp;$G20,PremRes!$C$8:$C$208,$H20,PremRes!$F$8:$F$208,$I20,PremRes!$D$8:$D$208,T$12))</f>
        <v>0</v>
      </c>
      <c r="U20" s="13" cm="1">
        <f t="array" ref="U20">_xlfn.IFS($G20="__overall__",
SUMIFS(PremRes!$G$8:$G$208,PremRes!$B$8:$B$208,$G20,PremRes!$C$8:$C$208,$H20,PremRes!$F$8:$F$208,$I20,PremRes!$D$8:$D$208,U$12),
TRUE,
SUMIFS(PremRes!$G$8:$G$208,PremRes!$B$8:$B$208,"level_"&amp;$G20,PremRes!$C$8:$C$208,$H20,PremRes!$F$8:$F$208,$I20,PremRes!$D$8:$D$208,U$12))</f>
        <v>0</v>
      </c>
      <c r="V20" s="13" cm="1">
        <f t="array" ref="V20">_xlfn.IFS($G20="__overall__",
SUMIFS(PremRes!$G$8:$G$208,PremRes!$B$8:$B$208,$G20,PremRes!$C$8:$C$208,$H20,PremRes!$F$8:$F$208,$I20,PremRes!$D$8:$D$208,V$12),
TRUE,
SUMIFS(PremRes!$G$8:$G$208,PremRes!$B$8:$B$208,"level_"&amp;$G20,PremRes!$C$8:$C$208,$H20,PremRes!$F$8:$F$208,$I20,PremRes!$D$8:$D$208,V$12))</f>
        <v>0</v>
      </c>
      <c r="X20" s="101">
        <f t="shared" si="5"/>
        <v>0</v>
      </c>
      <c r="Y20" s="101">
        <f t="shared" si="3"/>
        <v>0</v>
      </c>
      <c r="Z20" s="101">
        <f t="shared" si="4"/>
        <v>0</v>
      </c>
    </row>
    <row r="21" spans="1:26">
      <c r="A21" s="4">
        <v>2</v>
      </c>
      <c r="B21" s="4" t="str">
        <v>limpopo</v>
      </c>
      <c r="D21" s="143" t="str">
        <v>company_e</v>
      </c>
      <c r="F21" s="4">
        <v>8</v>
      </c>
      <c r="G21" s="4">
        <v>1</v>
      </c>
      <c r="H21" s="4" t="str">
        <v>direct</v>
      </c>
      <c r="I21" s="4" t="str">
        <v>company_e</v>
      </c>
      <c r="K21" s="13">
        <v>8</v>
      </c>
      <c r="L21" s="13">
        <v>11129914.951851647</v>
      </c>
      <c r="M21" s="13">
        <v>3759233.1292030108</v>
      </c>
      <c r="N21" s="13">
        <v>13417309.539193762</v>
      </c>
      <c r="O21" s="10"/>
      <c r="P21" s="13">
        <f t="shared" si="0"/>
        <v>0</v>
      </c>
      <c r="Q21" s="13">
        <f t="shared" si="6"/>
        <v>0</v>
      </c>
      <c r="R21" s="13">
        <f t="shared" si="2"/>
        <v>0</v>
      </c>
      <c r="S21" s="11"/>
      <c r="T21" s="13" cm="1">
        <f t="array" ref="T21">_xlfn.IFS($G21="__overall__",
SUMIFS(PremRes!$G$8:$G$208,PremRes!$B$8:$B$208,$G21,PremRes!$C$8:$C$208,$H21,PremRes!$F$8:$F$208,$I21,PremRes!$D$8:$D$208,T$12),
TRUE,
SUMIFS(PremRes!$G$8:$G$208,PremRes!$B$8:$B$208,"level_"&amp;$G21,PremRes!$C$8:$C$208,$H21,PremRes!$F$8:$F$208,$I21,PremRes!$D$8:$D$208,T$12))</f>
        <v>0</v>
      </c>
      <c r="U21" s="13" cm="1">
        <f t="array" ref="U21">_xlfn.IFS($G21="__overall__",
SUMIFS(PremRes!$G$8:$G$208,PremRes!$B$8:$B$208,$G21,PremRes!$C$8:$C$208,$H21,PremRes!$F$8:$F$208,$I21,PremRes!$D$8:$D$208,U$12),
TRUE,
SUMIFS(PremRes!$G$8:$G$208,PremRes!$B$8:$B$208,"level_"&amp;$G21,PremRes!$C$8:$C$208,$H21,PremRes!$F$8:$F$208,$I21,PremRes!$D$8:$D$208,U$12))</f>
        <v>0</v>
      </c>
      <c r="V21" s="13" cm="1">
        <f t="array" ref="V21">_xlfn.IFS($G21="__overall__",
SUMIFS(PremRes!$G$8:$G$208,PremRes!$B$8:$B$208,$G21,PremRes!$C$8:$C$208,$H21,PremRes!$F$8:$F$208,$I21,PremRes!$D$8:$D$208,V$12),
TRUE,
SUMIFS(PremRes!$G$8:$G$208,PremRes!$B$8:$B$208,"level_"&amp;$G21,PremRes!$C$8:$C$208,$H21,PremRes!$F$8:$F$208,$I21,PremRes!$D$8:$D$208,V$12))</f>
        <v>0</v>
      </c>
      <c r="X21" s="101">
        <f t="shared" si="5"/>
        <v>0</v>
      </c>
      <c r="Y21" s="101">
        <f t="shared" si="3"/>
        <v>0</v>
      </c>
      <c r="Z21" s="101">
        <f t="shared" si="4"/>
        <v>0</v>
      </c>
    </row>
    <row r="22" spans="1:26">
      <c r="A22" s="4">
        <v>2</v>
      </c>
      <c r="B22" s="4" t="str">
        <v>north west</v>
      </c>
      <c r="D22" s="144" t="str">
        <v>company_g</v>
      </c>
      <c r="F22" s="4">
        <v>9</v>
      </c>
      <c r="G22" s="4">
        <v>1</v>
      </c>
      <c r="H22" s="4" t="str">
        <v>direct</v>
      </c>
      <c r="I22" s="4" t="str">
        <v>company_g</v>
      </c>
      <c r="K22" s="13">
        <v>9</v>
      </c>
      <c r="L22" s="13">
        <v>11129914.951851647</v>
      </c>
      <c r="M22" s="13">
        <v>3759233.1292030108</v>
      </c>
      <c r="N22" s="13">
        <v>13417309.539193762</v>
      </c>
      <c r="O22" s="10"/>
      <c r="P22" s="13">
        <f t="shared" si="0"/>
        <v>0</v>
      </c>
      <c r="Q22" s="13">
        <f t="shared" si="6"/>
        <v>0</v>
      </c>
      <c r="R22" s="13">
        <f t="shared" si="2"/>
        <v>0</v>
      </c>
      <c r="S22" s="11"/>
      <c r="T22" s="13" cm="1">
        <f t="array" ref="T22">_xlfn.IFS($G22="__overall__",
SUMIFS(PremRes!$G$8:$G$208,PremRes!$B$8:$B$208,$G22,PremRes!$C$8:$C$208,$H22,PremRes!$F$8:$F$208,$I22,PremRes!$D$8:$D$208,T$12),
TRUE,
SUMIFS(PremRes!$G$8:$G$208,PremRes!$B$8:$B$208,"level_"&amp;$G22,PremRes!$C$8:$C$208,$H22,PremRes!$F$8:$F$208,$I22,PremRes!$D$8:$D$208,T$12))</f>
        <v>0</v>
      </c>
      <c r="U22" s="13" cm="1">
        <f t="array" ref="U22">_xlfn.IFS($G22="__overall__",
SUMIFS(PremRes!$G$8:$G$208,PremRes!$B$8:$B$208,$G22,PremRes!$C$8:$C$208,$H22,PremRes!$F$8:$F$208,$I22,PremRes!$D$8:$D$208,U$12),
TRUE,
SUMIFS(PremRes!$G$8:$G$208,PremRes!$B$8:$B$208,"level_"&amp;$G22,PremRes!$C$8:$C$208,$H22,PremRes!$F$8:$F$208,$I22,PremRes!$D$8:$D$208,U$12))</f>
        <v>0</v>
      </c>
      <c r="V22" s="13" cm="1">
        <f t="array" ref="V22">_xlfn.IFS($G22="__overall__",
SUMIFS(PremRes!$G$8:$G$208,PremRes!$B$8:$B$208,$G22,PremRes!$C$8:$C$208,$H22,PremRes!$F$8:$F$208,$I22,PremRes!$D$8:$D$208,V$12),
TRUE,
SUMIFS(PremRes!$G$8:$G$208,PremRes!$B$8:$B$208,"level_"&amp;$G22,PremRes!$C$8:$C$208,$H22,PremRes!$F$8:$F$208,$I22,PremRes!$D$8:$D$208,V$12))</f>
        <v>0</v>
      </c>
      <c r="X22" s="101">
        <f t="shared" si="5"/>
        <v>0</v>
      </c>
      <c r="Y22" s="101">
        <f t="shared" si="3"/>
        <v>0</v>
      </c>
      <c r="Z22" s="101">
        <f t="shared" si="4"/>
        <v>0</v>
      </c>
    </row>
    <row r="23" spans="1:26">
      <c r="A23" s="4">
        <v>2</v>
      </c>
      <c r="B23" s="4" t="str">
        <v>northern cape</v>
      </c>
      <c r="F23" s="4">
        <v>10</v>
      </c>
      <c r="G23" s="4">
        <v>1</v>
      </c>
      <c r="H23" s="4" t="str">
        <v>intermediated</v>
      </c>
      <c r="I23" s="4" t="str">
        <v>gross charge</v>
      </c>
      <c r="K23" s="13">
        <v>10</v>
      </c>
      <c r="L23" s="13">
        <v>5022795.7352242041</v>
      </c>
      <c r="M23" s="13">
        <v>1588930.193259978</v>
      </c>
      <c r="N23" s="13">
        <v>5974814.5605519954</v>
      </c>
      <c r="O23" s="10"/>
      <c r="P23" s="13">
        <f t="shared" si="0"/>
        <v>5022795.7352242041</v>
      </c>
      <c r="Q23" s="13">
        <f t="shared" si="6"/>
        <v>1588930.193259978</v>
      </c>
      <c r="R23" s="13">
        <f t="shared" si="2"/>
        <v>5974814.5605519954</v>
      </c>
      <c r="S23" s="11"/>
      <c r="T23" s="13" cm="1">
        <f t="array" ref="T23">_xlfn.IFS($G23="__overall__",
SUMIFS(PremRes!$G$8:$G$208,PremRes!$B$8:$B$208,$G23,PremRes!$C$8:$C$208,$H23,PremRes!$F$8:$F$208,$I23,PremRes!$D$8:$D$208,T$12),
TRUE,
SUMIFS(PremRes!$G$8:$G$208,PremRes!$B$8:$B$208,"level_"&amp;$G23,PremRes!$C$8:$C$208,$H23,PremRes!$F$8:$F$208,$I23,PremRes!$D$8:$D$208,T$12))</f>
        <v>5022795.7352242041</v>
      </c>
      <c r="U23" s="13" cm="1">
        <f t="array" ref="U23">_xlfn.IFS($G23="__overall__",
SUMIFS(PremRes!$G$8:$G$208,PremRes!$B$8:$B$208,$G23,PremRes!$C$8:$C$208,$H23,PremRes!$F$8:$F$208,$I23,PremRes!$D$8:$D$208,U$12),
TRUE,
SUMIFS(PremRes!$G$8:$G$208,PremRes!$B$8:$B$208,"level_"&amp;$G23,PremRes!$C$8:$C$208,$H23,PremRes!$F$8:$F$208,$I23,PremRes!$D$8:$D$208,U$12))</f>
        <v>1588930.1932599782</v>
      </c>
      <c r="V23" s="13" cm="1">
        <f t="array" ref="V23">_xlfn.IFS($G23="__overall__",
SUMIFS(PremRes!$G$8:$G$208,PremRes!$B$8:$B$208,$G23,PremRes!$C$8:$C$208,$H23,PremRes!$F$8:$F$208,$I23,PremRes!$D$8:$D$208,V$12),
TRUE,
SUMIFS(PremRes!$G$8:$G$208,PremRes!$B$8:$B$208,"level_"&amp;$G23,PremRes!$C$8:$C$208,$H23,PremRes!$F$8:$F$208,$I23,PremRes!$D$8:$D$208,V$12))</f>
        <v>5974814.5605519954</v>
      </c>
      <c r="X23" s="101">
        <f t="shared" si="5"/>
        <v>0</v>
      </c>
      <c r="Y23" s="101">
        <f t="shared" si="3"/>
        <v>0</v>
      </c>
      <c r="Z23" s="101">
        <f t="shared" si="4"/>
        <v>0</v>
      </c>
    </row>
    <row r="24" spans="1:26">
      <c r="A24" s="4">
        <v>2</v>
      </c>
      <c r="B24" s="4" t="str">
        <v>free state</v>
      </c>
      <c r="F24" s="4">
        <v>11</v>
      </c>
      <c r="G24" s="4">
        <v>1</v>
      </c>
      <c r="H24" s="4" t="str">
        <v>intermediated</v>
      </c>
      <c r="I24" s="4" t="str">
        <v>net charge</v>
      </c>
      <c r="K24" s="13">
        <v>11</v>
      </c>
      <c r="L24" s="13">
        <v>3559475.0500263041</v>
      </c>
      <c r="M24" s="13">
        <v>1093290.552658394</v>
      </c>
      <c r="N24" s="13">
        <v>4213700.5997630367</v>
      </c>
      <c r="O24" s="10"/>
      <c r="P24" s="13">
        <f t="shared" si="0"/>
        <v>3559475.0500263041</v>
      </c>
      <c r="Q24" s="13">
        <f t="shared" si="6"/>
        <v>1093290.552658394</v>
      </c>
      <c r="R24" s="13">
        <f t="shared" si="2"/>
        <v>4213700.5997630367</v>
      </c>
      <c r="S24" s="11"/>
      <c r="T24" s="13" cm="1">
        <f t="array" ref="T24">_xlfn.IFS($G24="__overall__",
SUMIFS(PremRes!$G$8:$G$208,PremRes!$B$8:$B$208,$G24,PremRes!$C$8:$C$208,$H24,PremRes!$F$8:$F$208,$I24,PremRes!$D$8:$D$208,T$12),
TRUE,
SUMIFS(PremRes!$G$8:$G$208,PremRes!$B$8:$B$208,"level_"&amp;$G24,PremRes!$C$8:$C$208,$H24,PremRes!$F$8:$F$208,$I24,PremRes!$D$8:$D$208,T$12))</f>
        <v>3559475.0500263032</v>
      </c>
      <c r="U24" s="13" cm="1">
        <f t="array" ref="U24">_xlfn.IFS($G24="__overall__",
SUMIFS(PremRes!$G$8:$G$208,PremRes!$B$8:$B$208,$G24,PremRes!$C$8:$C$208,$H24,PremRes!$F$8:$F$208,$I24,PremRes!$D$8:$D$208,U$12),
TRUE,
SUMIFS(PremRes!$G$8:$G$208,PremRes!$B$8:$B$208,"level_"&amp;$G24,PremRes!$C$8:$C$208,$H24,PremRes!$F$8:$F$208,$I24,PremRes!$D$8:$D$208,U$12))</f>
        <v>1093290.552658394</v>
      </c>
      <c r="V24" s="13" cm="1">
        <f t="array" ref="V24">_xlfn.IFS($G24="__overall__",
SUMIFS(PremRes!$G$8:$G$208,PremRes!$B$8:$B$208,$G24,PremRes!$C$8:$C$208,$H24,PremRes!$F$8:$F$208,$I24,PremRes!$D$8:$D$208,V$12),
TRUE,
SUMIFS(PremRes!$G$8:$G$208,PremRes!$B$8:$B$208,"level_"&amp;$G24,PremRes!$C$8:$C$208,$H24,PremRes!$F$8:$F$208,$I24,PremRes!$D$8:$D$208,V$12))</f>
        <v>4213700.5997630376</v>
      </c>
      <c r="X24" s="101">
        <f t="shared" si="5"/>
        <v>0</v>
      </c>
      <c r="Y24" s="101">
        <f t="shared" si="3"/>
        <v>0</v>
      </c>
      <c r="Z24" s="101">
        <f t="shared" si="4"/>
        <v>0</v>
      </c>
    </row>
    <row r="25" spans="1:26">
      <c r="A25" s="4">
        <v>2</v>
      </c>
      <c r="B25" s="4" t="str">
        <v>eastern cape</v>
      </c>
      <c r="F25" s="4">
        <v>12</v>
      </c>
      <c r="G25" s="4">
        <v>1</v>
      </c>
      <c r="H25" s="4" t="str">
        <v>intermediated</v>
      </c>
      <c r="I25" s="4" t="str">
        <v>calculated net charge</v>
      </c>
      <c r="K25" s="13">
        <v>12</v>
      </c>
      <c r="L25" s="13">
        <v>3691728.313170922</v>
      </c>
      <c r="M25" s="13">
        <v>1138322.5655842416</v>
      </c>
      <c r="N25" s="13">
        <v>4373052.8190186145</v>
      </c>
      <c r="O25" s="10"/>
      <c r="P25" s="13">
        <f t="shared" si="0"/>
        <v>3691728.313170922</v>
      </c>
      <c r="Q25" s="13">
        <f t="shared" si="6"/>
        <v>1138322.5655842416</v>
      </c>
      <c r="R25" s="13">
        <f t="shared" si="2"/>
        <v>4373052.8190186145</v>
      </c>
      <c r="S25" s="11"/>
      <c r="T25" s="13" cm="1">
        <f t="array" ref="T25">_xlfn.IFS($G25="__overall__",
SUMIFS(PremRes!$G$8:$G$208,PremRes!$B$8:$B$208,$G25,PremRes!$C$8:$C$208,$H25,PremRes!$F$8:$F$208,$I25,PremRes!$D$8:$D$208,T$12),
TRUE,
SUMIFS(PremRes!$G$8:$G$208,PremRes!$B$8:$B$208,"level_"&amp;$G25,PremRes!$C$8:$C$208,$H25,PremRes!$F$8:$F$208,$I25,PremRes!$D$8:$D$208,T$12))</f>
        <v>3691728.313170922</v>
      </c>
      <c r="U25" s="13" cm="1">
        <f t="array" ref="U25">_xlfn.IFS($G25="__overall__",
SUMIFS(PremRes!$G$8:$G$208,PremRes!$B$8:$B$208,$G25,PremRes!$C$8:$C$208,$H25,PremRes!$F$8:$F$208,$I25,PremRes!$D$8:$D$208,U$12),
TRUE,
SUMIFS(PremRes!$G$8:$G$208,PremRes!$B$8:$B$208,"level_"&amp;$G25,PremRes!$C$8:$C$208,$H25,PremRes!$F$8:$F$208,$I25,PremRes!$D$8:$D$208,U$12))</f>
        <v>1138322.5655842416</v>
      </c>
      <c r="V25" s="13" cm="1">
        <f t="array" ref="V25">_xlfn.IFS($G25="__overall__",
SUMIFS(PremRes!$G$8:$G$208,PremRes!$B$8:$B$208,$G25,PremRes!$C$8:$C$208,$H25,PremRes!$F$8:$F$208,$I25,PremRes!$D$8:$D$208,V$12),
TRUE,
SUMIFS(PremRes!$G$8:$G$208,PremRes!$B$8:$B$208,"level_"&amp;$G25,PremRes!$C$8:$C$208,$H25,PremRes!$F$8:$F$208,$I25,PremRes!$D$8:$D$208,V$12))</f>
        <v>4373052.8190186145</v>
      </c>
      <c r="X25" s="101">
        <f t="shared" si="5"/>
        <v>0</v>
      </c>
      <c r="Y25" s="101">
        <f t="shared" si="3"/>
        <v>0</v>
      </c>
      <c r="Z25" s="101">
        <f t="shared" si="4"/>
        <v>0</v>
      </c>
    </row>
    <row r="26" spans="1:26">
      <c r="A26" s="7" t="str">
        <v>__overall__</v>
      </c>
      <c r="B26" s="7" t="str">
        <v>__overall__</v>
      </c>
      <c r="F26" s="4">
        <v>13</v>
      </c>
      <c r="G26" s="4">
        <v>1</v>
      </c>
      <c r="H26" s="4" t="str">
        <v>intermediated</v>
      </c>
      <c r="I26" s="4" t="str">
        <v>company_a</v>
      </c>
      <c r="K26" s="13">
        <v>13</v>
      </c>
      <c r="L26" s="13">
        <v>4318705.0332859559</v>
      </c>
      <c r="M26" s="13">
        <v>1351894.531552122</v>
      </c>
      <c r="N26" s="13">
        <v>5128130.9897593306</v>
      </c>
      <c r="O26" s="10"/>
      <c r="P26" s="13">
        <f t="shared" si="0"/>
        <v>626976.72011503391</v>
      </c>
      <c r="Q26" s="13">
        <f t="shared" si="6"/>
        <v>213571.96596788033</v>
      </c>
      <c r="R26" s="13">
        <f t="shared" si="2"/>
        <v>755078.17074071616</v>
      </c>
      <c r="S26" s="11"/>
      <c r="T26" s="13" cm="1">
        <f t="array" ref="T26">_xlfn.IFS($G26="__overall__",
SUMIFS(PremRes!$G$8:$G$208,PremRes!$B$8:$B$208,$G26,PremRes!$C$8:$C$208,$H26,PremRes!$F$8:$F$208,$I26,PremRes!$D$8:$D$208,T$12),
TRUE,
SUMIFS(PremRes!$G$8:$G$208,PremRes!$B$8:$B$208,"level_"&amp;$G26,PremRes!$C$8:$C$208,$H26,PremRes!$F$8:$F$208,$I26,PremRes!$D$8:$D$208,T$12))</f>
        <v>626976.72011503391</v>
      </c>
      <c r="U26" s="13" cm="1">
        <f t="array" ref="U26">_xlfn.IFS($G26="__overall__",
SUMIFS(PremRes!$G$8:$G$208,PremRes!$B$8:$B$208,$G26,PremRes!$C$8:$C$208,$H26,PremRes!$F$8:$F$208,$I26,PremRes!$D$8:$D$208,U$12),
TRUE,
SUMIFS(PremRes!$G$8:$G$208,PremRes!$B$8:$B$208,"level_"&amp;$G26,PremRes!$C$8:$C$208,$H26,PremRes!$F$8:$F$208,$I26,PremRes!$D$8:$D$208,U$12))</f>
        <v>213571.96596788056</v>
      </c>
      <c r="V26" s="13" cm="1">
        <f t="array" ref="V26">_xlfn.IFS($G26="__overall__",
SUMIFS(PremRes!$G$8:$G$208,PremRes!$B$8:$B$208,$G26,PremRes!$C$8:$C$208,$H26,PremRes!$F$8:$F$208,$I26,PremRes!$D$8:$D$208,V$12),
TRUE,
SUMIFS(PremRes!$G$8:$G$208,PremRes!$B$8:$B$208,"level_"&amp;$G26,PremRes!$C$8:$C$208,$H26,PremRes!$F$8:$F$208,$I26,PremRes!$D$8:$D$208,V$12))</f>
        <v>755078.17074071616</v>
      </c>
      <c r="X26" s="101">
        <f t="shared" si="5"/>
        <v>0</v>
      </c>
      <c r="Y26" s="101">
        <f t="shared" si="3"/>
        <v>-2.3283064365386963E-10</v>
      </c>
      <c r="Z26" s="101">
        <f t="shared" si="4"/>
        <v>0</v>
      </c>
    </row>
    <row r="27" spans="1:26">
      <c r="F27" s="4">
        <v>14</v>
      </c>
      <c r="G27" s="4">
        <v>1</v>
      </c>
      <c r="H27" s="4" t="str">
        <v>intermediated</v>
      </c>
      <c r="I27" s="4" t="str">
        <v>company_b</v>
      </c>
      <c r="K27" s="13">
        <v>14</v>
      </c>
      <c r="L27" s="13">
        <v>4254061.7420563111</v>
      </c>
      <c r="M27" s="13">
        <v>1329260.3324770336</v>
      </c>
      <c r="N27" s="13">
        <v>5050153.1980043128</v>
      </c>
      <c r="O27" s="10"/>
      <c r="P27" s="13">
        <f t="shared" si="0"/>
        <v>562333.42888538912</v>
      </c>
      <c r="Q27" s="13">
        <f t="shared" si="6"/>
        <v>190937.76689279196</v>
      </c>
      <c r="R27" s="13">
        <f t="shared" si="2"/>
        <v>677100.37898569833</v>
      </c>
      <c r="S27" s="11"/>
      <c r="T27" s="13" cm="1">
        <f t="array" ref="T27">_xlfn.IFS($G27="__overall__",
SUMIFS(PremRes!$G$8:$G$208,PremRes!$B$8:$B$208,$G27,PremRes!$C$8:$C$208,$H27,PremRes!$F$8:$F$208,$I27,PremRes!$D$8:$D$208,T$12),
TRUE,
SUMIFS(PremRes!$G$8:$G$208,PremRes!$B$8:$B$208,"level_"&amp;$G27,PremRes!$C$8:$C$208,$H27,PremRes!$F$8:$F$208,$I27,PremRes!$D$8:$D$208,T$12))</f>
        <v>562333.42888538912</v>
      </c>
      <c r="U27" s="13" cm="1">
        <f t="array" ref="U27">_xlfn.IFS($G27="__overall__",
SUMIFS(PremRes!$G$8:$G$208,PremRes!$B$8:$B$208,$G27,PremRes!$C$8:$C$208,$H27,PremRes!$F$8:$F$208,$I27,PremRes!$D$8:$D$208,U$12),
TRUE,
SUMIFS(PremRes!$G$8:$G$208,PremRes!$B$8:$B$208,"level_"&amp;$G27,PremRes!$C$8:$C$208,$H27,PremRes!$F$8:$F$208,$I27,PremRes!$D$8:$D$208,U$12))</f>
        <v>190937.76689279196</v>
      </c>
      <c r="V27" s="13" cm="1">
        <f t="array" ref="V27">_xlfn.IFS($G27="__overall__",
SUMIFS(PremRes!$G$8:$G$208,PremRes!$B$8:$B$208,$G27,PremRes!$C$8:$C$208,$H27,PremRes!$F$8:$F$208,$I27,PremRes!$D$8:$D$208,V$12),
TRUE,
SUMIFS(PremRes!$G$8:$G$208,PremRes!$B$8:$B$208,"level_"&amp;$G27,PremRes!$C$8:$C$208,$H27,PremRes!$F$8:$F$208,$I27,PremRes!$D$8:$D$208,V$12))</f>
        <v>677100.37898569833</v>
      </c>
      <c r="X27" s="101">
        <f t="shared" si="5"/>
        <v>0</v>
      </c>
      <c r="Y27" s="101">
        <f t="shared" si="3"/>
        <v>0</v>
      </c>
      <c r="Z27" s="101">
        <f t="shared" si="4"/>
        <v>0</v>
      </c>
    </row>
    <row r="28" spans="1:26">
      <c r="F28" s="4">
        <v>15</v>
      </c>
      <c r="G28" s="4">
        <v>1</v>
      </c>
      <c r="H28" s="4" t="str">
        <v>intermediated</v>
      </c>
      <c r="I28" s="4" t="str">
        <v>company_c</v>
      </c>
      <c r="K28" s="13">
        <v>15</v>
      </c>
      <c r="L28" s="13">
        <v>3815071.1861222088</v>
      </c>
      <c r="M28" s="13">
        <v>1179361.3050264376</v>
      </c>
      <c r="N28" s="13">
        <v>4521371.1840491435</v>
      </c>
      <c r="O28" s="10"/>
      <c r="P28" s="13">
        <f t="shared" si="0"/>
        <v>123342.87295128684</v>
      </c>
      <c r="Q28" s="13">
        <f t="shared" si="6"/>
        <v>41038.739442195976</v>
      </c>
      <c r="R28" s="13">
        <f t="shared" si="2"/>
        <v>148318.36503052898</v>
      </c>
      <c r="S28" s="11"/>
      <c r="T28" s="13" cm="1">
        <f t="array" ref="T28">_xlfn.IFS($G28="__overall__",
SUMIFS(PremRes!$G$8:$G$208,PremRes!$B$8:$B$208,$G28,PremRes!$C$8:$C$208,$H28,PremRes!$F$8:$F$208,$I28,PremRes!$D$8:$D$208,T$12),
TRUE,
SUMIFS(PremRes!$G$8:$G$208,PremRes!$B$8:$B$208,"level_"&amp;$G28,PremRes!$C$8:$C$208,$H28,PremRes!$F$8:$F$208,$I28,PremRes!$D$8:$D$208,T$12))</f>
        <v>123342.87295128684</v>
      </c>
      <c r="U28" s="13" cm="1">
        <f t="array" ref="U28">_xlfn.IFS($G28="__overall__",
SUMIFS(PremRes!$G$8:$G$208,PremRes!$B$8:$B$208,$G28,PremRes!$C$8:$C$208,$H28,PremRes!$F$8:$F$208,$I28,PremRes!$D$8:$D$208,U$12),
TRUE,
SUMIFS(PremRes!$G$8:$G$208,PremRes!$B$8:$B$208,"level_"&amp;$G28,PremRes!$C$8:$C$208,$H28,PremRes!$F$8:$F$208,$I28,PremRes!$D$8:$D$208,U$12))</f>
        <v>41038.739442195976</v>
      </c>
      <c r="V28" s="13" cm="1">
        <f t="array" ref="V28">_xlfn.IFS($G28="__overall__",
SUMIFS(PremRes!$G$8:$G$208,PremRes!$B$8:$B$208,$G28,PremRes!$C$8:$C$208,$H28,PremRes!$F$8:$F$208,$I28,PremRes!$D$8:$D$208,V$12),
TRUE,
SUMIFS(PremRes!$G$8:$G$208,PremRes!$B$8:$B$208,"level_"&amp;$G28,PremRes!$C$8:$C$208,$H28,PremRes!$F$8:$F$208,$I28,PremRes!$D$8:$D$208,V$12))</f>
        <v>148318.36503052898</v>
      </c>
      <c r="X28" s="101">
        <f t="shared" si="5"/>
        <v>0</v>
      </c>
      <c r="Y28" s="101">
        <f t="shared" si="3"/>
        <v>0</v>
      </c>
      <c r="Z28" s="101">
        <f t="shared" si="4"/>
        <v>0</v>
      </c>
    </row>
    <row r="29" spans="1:26">
      <c r="F29" s="4">
        <v>16</v>
      </c>
      <c r="G29" s="4">
        <v>1</v>
      </c>
      <c r="H29" s="4" t="str">
        <v>intermediated</v>
      </c>
      <c r="I29" s="4" t="str">
        <v>company_d</v>
      </c>
      <c r="K29" s="13">
        <v>16</v>
      </c>
      <c r="L29" s="13">
        <v>3691728.313170922</v>
      </c>
      <c r="M29" s="13">
        <v>1138322.5655842416</v>
      </c>
      <c r="N29" s="13">
        <v>4373052.8190186145</v>
      </c>
      <c r="O29" s="10"/>
      <c r="P29" s="13">
        <f t="shared" si="0"/>
        <v>0</v>
      </c>
      <c r="Q29" s="13">
        <f t="shared" si="6"/>
        <v>0</v>
      </c>
      <c r="R29" s="13">
        <f t="shared" si="2"/>
        <v>0</v>
      </c>
      <c r="S29" s="11"/>
      <c r="T29" s="13" cm="1">
        <f t="array" ref="T29">_xlfn.IFS($G29="__overall__",
SUMIFS(PremRes!$G$8:$G$208,PremRes!$B$8:$B$208,$G29,PremRes!$C$8:$C$208,$H29,PremRes!$F$8:$F$208,$I29,PremRes!$D$8:$D$208,T$12),
TRUE,
SUMIFS(PremRes!$G$8:$G$208,PremRes!$B$8:$B$208,"level_"&amp;$G29,PremRes!$C$8:$C$208,$H29,PremRes!$F$8:$F$208,$I29,PremRes!$D$8:$D$208,T$12))</f>
        <v>0</v>
      </c>
      <c r="U29" s="13" cm="1">
        <f t="array" ref="U29">_xlfn.IFS($G29="__overall__",
SUMIFS(PremRes!$G$8:$G$208,PremRes!$B$8:$B$208,$G29,PremRes!$C$8:$C$208,$H29,PremRes!$F$8:$F$208,$I29,PremRes!$D$8:$D$208,U$12),
TRUE,
SUMIFS(PremRes!$G$8:$G$208,PremRes!$B$8:$B$208,"level_"&amp;$G29,PremRes!$C$8:$C$208,$H29,PremRes!$F$8:$F$208,$I29,PremRes!$D$8:$D$208,U$12))</f>
        <v>0</v>
      </c>
      <c r="V29" s="13" cm="1">
        <f t="array" ref="V29">_xlfn.IFS($G29="__overall__",
SUMIFS(PremRes!$G$8:$G$208,PremRes!$B$8:$B$208,$G29,PremRes!$C$8:$C$208,$H29,PremRes!$F$8:$F$208,$I29,PremRes!$D$8:$D$208,V$12),
TRUE,
SUMIFS(PremRes!$G$8:$G$208,PremRes!$B$8:$B$208,"level_"&amp;$G29,PremRes!$C$8:$C$208,$H29,PremRes!$F$8:$F$208,$I29,PremRes!$D$8:$D$208,V$12))</f>
        <v>0</v>
      </c>
      <c r="X29" s="101">
        <f t="shared" si="5"/>
        <v>0</v>
      </c>
      <c r="Y29" s="101">
        <f t="shared" si="3"/>
        <v>0</v>
      </c>
      <c r="Z29" s="101">
        <f t="shared" si="4"/>
        <v>0</v>
      </c>
    </row>
    <row r="30" spans="1:26">
      <c r="F30" s="4">
        <v>17</v>
      </c>
      <c r="G30" s="4">
        <v>1</v>
      </c>
      <c r="H30" s="4" t="str">
        <v>intermediated</v>
      </c>
      <c r="I30" s="4" t="str">
        <v>company_e</v>
      </c>
      <c r="K30" s="13">
        <v>17</v>
      </c>
      <c r="L30" s="13">
        <v>3691728.313170922</v>
      </c>
      <c r="M30" s="13">
        <v>1138322.5655842416</v>
      </c>
      <c r="N30" s="13">
        <v>4373052.8190186145</v>
      </c>
      <c r="O30" s="10"/>
      <c r="P30" s="13">
        <f t="shared" si="0"/>
        <v>0</v>
      </c>
      <c r="Q30" s="13">
        <f t="shared" si="6"/>
        <v>0</v>
      </c>
      <c r="R30" s="13">
        <f t="shared" si="2"/>
        <v>0</v>
      </c>
      <c r="S30" s="11"/>
      <c r="T30" s="13" cm="1">
        <f t="array" ref="T30">_xlfn.IFS($G30="__overall__",
SUMIFS(PremRes!$G$8:$G$208,PremRes!$B$8:$B$208,$G30,PremRes!$C$8:$C$208,$H30,PremRes!$F$8:$F$208,$I30,PremRes!$D$8:$D$208,T$12),
TRUE,
SUMIFS(PremRes!$G$8:$G$208,PremRes!$B$8:$B$208,"level_"&amp;$G30,PremRes!$C$8:$C$208,$H30,PremRes!$F$8:$F$208,$I30,PremRes!$D$8:$D$208,T$12))</f>
        <v>0</v>
      </c>
      <c r="U30" s="13" cm="1">
        <f t="array" ref="U30">_xlfn.IFS($G30="__overall__",
SUMIFS(PremRes!$G$8:$G$208,PremRes!$B$8:$B$208,$G30,PremRes!$C$8:$C$208,$H30,PremRes!$F$8:$F$208,$I30,PremRes!$D$8:$D$208,U$12),
TRUE,
SUMIFS(PremRes!$G$8:$G$208,PremRes!$B$8:$B$208,"level_"&amp;$G30,PremRes!$C$8:$C$208,$H30,PremRes!$F$8:$F$208,$I30,PremRes!$D$8:$D$208,U$12))</f>
        <v>0</v>
      </c>
      <c r="V30" s="13" cm="1">
        <f t="array" ref="V30">_xlfn.IFS($G30="__overall__",
SUMIFS(PremRes!$G$8:$G$208,PremRes!$B$8:$B$208,$G30,PremRes!$C$8:$C$208,$H30,PremRes!$F$8:$F$208,$I30,PremRes!$D$8:$D$208,V$12),
TRUE,
SUMIFS(PremRes!$G$8:$G$208,PremRes!$B$8:$B$208,"level_"&amp;$G30,PremRes!$C$8:$C$208,$H30,PremRes!$F$8:$F$208,$I30,PremRes!$D$8:$D$208,V$12))</f>
        <v>0</v>
      </c>
      <c r="X30" s="101">
        <f t="shared" si="5"/>
        <v>0</v>
      </c>
      <c r="Y30" s="101">
        <f t="shared" si="3"/>
        <v>0</v>
      </c>
      <c r="Z30" s="101">
        <f t="shared" si="4"/>
        <v>0</v>
      </c>
    </row>
    <row r="31" spans="1:26">
      <c r="F31" s="4">
        <v>18</v>
      </c>
      <c r="G31" s="4">
        <v>1</v>
      </c>
      <c r="H31" s="4" t="str">
        <v>intermediated</v>
      </c>
      <c r="I31" s="4" t="str">
        <v>company_g</v>
      </c>
      <c r="K31" s="13">
        <v>18</v>
      </c>
      <c r="L31" s="13">
        <v>3691728.313170922</v>
      </c>
      <c r="M31" s="13">
        <v>1138322.5655842416</v>
      </c>
      <c r="N31" s="13">
        <v>4373052.8190186145</v>
      </c>
      <c r="O31" s="10"/>
      <c r="P31" s="13">
        <f t="shared" si="0"/>
        <v>0</v>
      </c>
      <c r="Q31" s="13">
        <f t="shared" si="6"/>
        <v>0</v>
      </c>
      <c r="R31" s="13">
        <f t="shared" si="2"/>
        <v>0</v>
      </c>
      <c r="S31" s="11"/>
      <c r="T31" s="13" cm="1">
        <f t="array" ref="T31">_xlfn.IFS($G31="__overall__",
SUMIFS(PremRes!$G$8:$G$208,PremRes!$B$8:$B$208,$G31,PremRes!$C$8:$C$208,$H31,PremRes!$F$8:$F$208,$I31,PremRes!$D$8:$D$208,T$12),
TRUE,
SUMIFS(PremRes!$G$8:$G$208,PremRes!$B$8:$B$208,"level_"&amp;$G31,PremRes!$C$8:$C$208,$H31,PremRes!$F$8:$F$208,$I31,PremRes!$D$8:$D$208,T$12))</f>
        <v>0</v>
      </c>
      <c r="U31" s="13" cm="1">
        <f t="array" ref="U31">_xlfn.IFS($G31="__overall__",
SUMIFS(PremRes!$G$8:$G$208,PremRes!$B$8:$B$208,$G31,PremRes!$C$8:$C$208,$H31,PremRes!$F$8:$F$208,$I31,PremRes!$D$8:$D$208,U$12),
TRUE,
SUMIFS(PremRes!$G$8:$G$208,PremRes!$B$8:$B$208,"level_"&amp;$G31,PremRes!$C$8:$C$208,$H31,PremRes!$F$8:$F$208,$I31,PremRes!$D$8:$D$208,U$12))</f>
        <v>0</v>
      </c>
      <c r="V31" s="13" cm="1">
        <f t="array" ref="V31">_xlfn.IFS($G31="__overall__",
SUMIFS(PremRes!$G$8:$G$208,PremRes!$B$8:$B$208,$G31,PremRes!$C$8:$C$208,$H31,PremRes!$F$8:$F$208,$I31,PremRes!$D$8:$D$208,V$12),
TRUE,
SUMIFS(PremRes!$G$8:$G$208,PremRes!$B$8:$B$208,"level_"&amp;$G31,PremRes!$C$8:$C$208,$H31,PremRes!$F$8:$F$208,$I31,PremRes!$D$8:$D$208,V$12))</f>
        <v>0</v>
      </c>
      <c r="X31" s="101">
        <f t="shared" si="5"/>
        <v>0</v>
      </c>
      <c r="Y31" s="101">
        <f t="shared" si="3"/>
        <v>0</v>
      </c>
      <c r="Z31" s="101">
        <f t="shared" si="4"/>
        <v>0</v>
      </c>
    </row>
    <row r="32" spans="1:26">
      <c r="F32" s="4">
        <v>19</v>
      </c>
      <c r="G32" s="4">
        <v>1</v>
      </c>
      <c r="H32" s="4" t="str">
        <v>specialised</v>
      </c>
      <c r="I32" s="4" t="str">
        <v>gross charge</v>
      </c>
      <c r="K32" s="13">
        <v>19</v>
      </c>
      <c r="L32" s="13">
        <v>5306639.6045899959</v>
      </c>
      <c r="M32" s="13">
        <v>3034129.9573273254</v>
      </c>
      <c r="N32" s="13">
        <v>7346990.0228495384</v>
      </c>
      <c r="O32" s="10"/>
      <c r="P32" s="13">
        <f t="shared" si="0"/>
        <v>5306639.6045899959</v>
      </c>
      <c r="Q32" s="13">
        <f t="shared" si="6"/>
        <v>3034129.9573273254</v>
      </c>
      <c r="R32" s="13">
        <f t="shared" si="2"/>
        <v>7346990.0228495384</v>
      </c>
      <c r="S32" s="11"/>
      <c r="T32" s="13" cm="1">
        <f t="array" ref="T32">_xlfn.IFS($G32="__overall__",
SUMIFS(PremRes!$G$8:$G$208,PremRes!$B$8:$B$208,$G32,PremRes!$C$8:$C$208,$H32,PremRes!$F$8:$F$208,$I32,PremRes!$D$8:$D$208,T$12),
TRUE,
SUMIFS(PremRes!$G$8:$G$208,PremRes!$B$8:$B$208,"level_"&amp;$G32,PremRes!$C$8:$C$208,$H32,PremRes!$F$8:$F$208,$I32,PremRes!$D$8:$D$208,T$12))</f>
        <v>5306639.6045899959</v>
      </c>
      <c r="U32" s="13" cm="1">
        <f t="array" ref="U32">_xlfn.IFS($G32="__overall__",
SUMIFS(PremRes!$G$8:$G$208,PremRes!$B$8:$B$208,$G32,PremRes!$C$8:$C$208,$H32,PremRes!$F$8:$F$208,$I32,PremRes!$D$8:$D$208,U$12),
TRUE,
SUMIFS(PremRes!$G$8:$G$208,PremRes!$B$8:$B$208,"level_"&amp;$G32,PremRes!$C$8:$C$208,$H32,PremRes!$F$8:$F$208,$I32,PremRes!$D$8:$D$208,U$12))</f>
        <v>3034129.9573273254</v>
      </c>
      <c r="V32" s="13" cm="1">
        <f t="array" ref="V32">_xlfn.IFS($G32="__overall__",
SUMIFS(PremRes!$G$8:$G$208,PremRes!$B$8:$B$208,$G32,PremRes!$C$8:$C$208,$H32,PremRes!$F$8:$F$208,$I32,PremRes!$D$8:$D$208,V$12),
TRUE,
SUMIFS(PremRes!$G$8:$G$208,PremRes!$B$8:$B$208,"level_"&amp;$G32,PremRes!$C$8:$C$208,$H32,PremRes!$F$8:$F$208,$I32,PremRes!$D$8:$D$208,V$12))</f>
        <v>7346990.0228495374</v>
      </c>
      <c r="X32" s="101">
        <f t="shared" si="5"/>
        <v>0</v>
      </c>
      <c r="Y32" s="101">
        <f t="shared" si="3"/>
        <v>0</v>
      </c>
      <c r="Z32" s="101">
        <f t="shared" si="4"/>
        <v>0</v>
      </c>
    </row>
    <row r="33" spans="6:26">
      <c r="F33" s="4">
        <v>20</v>
      </c>
      <c r="G33" s="4">
        <v>1</v>
      </c>
      <c r="H33" s="4" t="str">
        <v>specialised</v>
      </c>
      <c r="I33" s="4" t="str">
        <v>net charge</v>
      </c>
      <c r="K33" s="13">
        <v>20</v>
      </c>
      <c r="L33" s="13">
        <v>5120290.5483812159</v>
      </c>
      <c r="M33" s="13">
        <v>2455405.5779135581</v>
      </c>
      <c r="N33" s="13">
        <v>6710063.8357270109</v>
      </c>
      <c r="O33" s="10"/>
      <c r="P33" s="13">
        <f t="shared" si="0"/>
        <v>5120290.5483812159</v>
      </c>
      <c r="Q33" s="13">
        <f t="shared" si="6"/>
        <v>2455405.5779135581</v>
      </c>
      <c r="R33" s="13">
        <f t="shared" si="2"/>
        <v>6710063.8357270109</v>
      </c>
      <c r="S33" s="11"/>
      <c r="T33" s="13" cm="1">
        <f t="array" ref="T33">_xlfn.IFS($G33="__overall__",
SUMIFS(PremRes!$G$8:$G$208,PremRes!$B$8:$B$208,$G33,PremRes!$C$8:$C$208,$H33,PremRes!$F$8:$F$208,$I33,PremRes!$D$8:$D$208,T$12),
TRUE,
SUMIFS(PremRes!$G$8:$G$208,PremRes!$B$8:$B$208,"level_"&amp;$G33,PremRes!$C$8:$C$208,$H33,PremRes!$F$8:$F$208,$I33,PremRes!$D$8:$D$208,T$12))</f>
        <v>5120290.5483812168</v>
      </c>
      <c r="U33" s="13" cm="1">
        <f t="array" ref="U33">_xlfn.IFS($G33="__overall__",
SUMIFS(PremRes!$G$8:$G$208,PremRes!$B$8:$B$208,$G33,PremRes!$C$8:$C$208,$H33,PremRes!$F$8:$F$208,$I33,PremRes!$D$8:$D$208,U$12),
TRUE,
SUMIFS(PremRes!$G$8:$G$208,PremRes!$B$8:$B$208,"level_"&amp;$G33,PremRes!$C$8:$C$208,$H33,PremRes!$F$8:$F$208,$I33,PremRes!$D$8:$D$208,U$12))</f>
        <v>2455405.5779135581</v>
      </c>
      <c r="V33" s="13" cm="1">
        <f t="array" ref="V33">_xlfn.IFS($G33="__overall__",
SUMIFS(PremRes!$G$8:$G$208,PremRes!$B$8:$B$208,$G33,PremRes!$C$8:$C$208,$H33,PremRes!$F$8:$F$208,$I33,PremRes!$D$8:$D$208,V$12),
TRUE,
SUMIFS(PremRes!$G$8:$G$208,PremRes!$B$8:$B$208,"level_"&amp;$G33,PremRes!$C$8:$C$208,$H33,PremRes!$F$8:$F$208,$I33,PremRes!$D$8:$D$208,V$12))</f>
        <v>6710063.8357270118</v>
      </c>
      <c r="X33" s="101">
        <f t="shared" si="5"/>
        <v>0</v>
      </c>
      <c r="Y33" s="101">
        <f t="shared" si="3"/>
        <v>0</v>
      </c>
      <c r="Z33" s="101">
        <f t="shared" si="4"/>
        <v>0</v>
      </c>
    </row>
    <row r="34" spans="6:26">
      <c r="F34" s="4">
        <v>21</v>
      </c>
      <c r="G34" s="4">
        <v>1</v>
      </c>
      <c r="H34" s="4" t="str">
        <v>specialised</v>
      </c>
      <c r="I34" s="4" t="str">
        <v>calculated net charge</v>
      </c>
      <c r="K34" s="13">
        <v>21</v>
      </c>
      <c r="L34" s="13">
        <v>4680468.1722882874</v>
      </c>
      <c r="M34" s="13">
        <v>2507018.5387761029</v>
      </c>
      <c r="N34" s="13">
        <v>6352716.8541807383</v>
      </c>
      <c r="O34" s="10"/>
      <c r="P34" s="13">
        <f t="shared" si="0"/>
        <v>4680468.1722882874</v>
      </c>
      <c r="Q34" s="13">
        <f t="shared" si="6"/>
        <v>2507018.5387761029</v>
      </c>
      <c r="R34" s="13">
        <f t="shared" si="2"/>
        <v>6352716.8541807383</v>
      </c>
      <c r="S34" s="11"/>
      <c r="T34" s="13" cm="1">
        <f t="array" ref="T34">_xlfn.IFS($G34="__overall__",
SUMIFS(PremRes!$G$8:$G$208,PremRes!$B$8:$B$208,$G34,PremRes!$C$8:$C$208,$H34,PremRes!$F$8:$F$208,$I34,PremRes!$D$8:$D$208,T$12),
TRUE,
SUMIFS(PremRes!$G$8:$G$208,PremRes!$B$8:$B$208,"level_"&amp;$G34,PremRes!$C$8:$C$208,$H34,PremRes!$F$8:$F$208,$I34,PremRes!$D$8:$D$208,T$12))</f>
        <v>4680468.1722882874</v>
      </c>
      <c r="U34" s="13" cm="1">
        <f t="array" ref="U34">_xlfn.IFS($G34="__overall__",
SUMIFS(PremRes!$G$8:$G$208,PremRes!$B$8:$B$208,$G34,PremRes!$C$8:$C$208,$H34,PremRes!$F$8:$F$208,$I34,PremRes!$D$8:$D$208,U$12),
TRUE,
SUMIFS(PremRes!$G$8:$G$208,PremRes!$B$8:$B$208,"level_"&amp;$G34,PremRes!$C$8:$C$208,$H34,PremRes!$F$8:$F$208,$I34,PremRes!$D$8:$D$208,U$12))</f>
        <v>2507018.5387761025</v>
      </c>
      <c r="V34" s="13" cm="1">
        <f t="array" ref="V34">_xlfn.IFS($G34="__overall__",
SUMIFS(PremRes!$G$8:$G$208,PremRes!$B$8:$B$208,$G34,PremRes!$C$8:$C$208,$H34,PremRes!$F$8:$F$208,$I34,PremRes!$D$8:$D$208,V$12),
TRUE,
SUMIFS(PremRes!$G$8:$G$208,PremRes!$B$8:$B$208,"level_"&amp;$G34,PremRes!$C$8:$C$208,$H34,PremRes!$F$8:$F$208,$I34,PremRes!$D$8:$D$208,V$12))</f>
        <v>6352716.8541807383</v>
      </c>
      <c r="X34" s="101">
        <f t="shared" si="5"/>
        <v>0</v>
      </c>
      <c r="Y34" s="101">
        <f t="shared" si="3"/>
        <v>0</v>
      </c>
      <c r="Z34" s="101">
        <f t="shared" si="4"/>
        <v>0</v>
      </c>
    </row>
    <row r="35" spans="6:26">
      <c r="F35" s="4">
        <v>22</v>
      </c>
      <c r="G35" s="4">
        <v>1</v>
      </c>
      <c r="H35" s="4" t="str">
        <v>specialised</v>
      </c>
      <c r="I35" s="4" t="str">
        <v>company_a</v>
      </c>
      <c r="K35" s="13">
        <v>22</v>
      </c>
      <c r="L35" s="13">
        <v>4905164.8635003567</v>
      </c>
      <c r="M35" s="13">
        <v>2742862.6397056291</v>
      </c>
      <c r="N35" s="13">
        <v>6745529.1188677736</v>
      </c>
      <c r="O35" s="10"/>
      <c r="P35" s="13">
        <f t="shared" si="0"/>
        <v>224696.69121206924</v>
      </c>
      <c r="Q35" s="13">
        <f t="shared" si="6"/>
        <v>235844.10092952615</v>
      </c>
      <c r="R35" s="13">
        <f t="shared" si="2"/>
        <v>392812.26468703523</v>
      </c>
      <c r="S35" s="11"/>
      <c r="T35" s="13" cm="1">
        <f t="array" ref="T35">_xlfn.IFS($G35="__overall__",
SUMIFS(PremRes!$G$8:$G$208,PremRes!$B$8:$B$208,$G35,PremRes!$C$8:$C$208,$H35,PremRes!$F$8:$F$208,$I35,PremRes!$D$8:$D$208,T$12),
TRUE,
SUMIFS(PremRes!$G$8:$G$208,PremRes!$B$8:$B$208,"level_"&amp;$G35,PremRes!$C$8:$C$208,$H35,PremRes!$F$8:$F$208,$I35,PremRes!$D$8:$D$208,T$12))</f>
        <v>224696.69121206924</v>
      </c>
      <c r="U35" s="13" cm="1">
        <f t="array" ref="U35">_xlfn.IFS($G35="__overall__",
SUMIFS(PremRes!$G$8:$G$208,PremRes!$B$8:$B$208,$G35,PremRes!$C$8:$C$208,$H35,PremRes!$F$8:$F$208,$I35,PremRes!$D$8:$D$208,U$12),
TRUE,
SUMIFS(PremRes!$G$8:$G$208,PremRes!$B$8:$B$208,"level_"&amp;$G35,PremRes!$C$8:$C$208,$H35,PremRes!$F$8:$F$208,$I35,PremRes!$D$8:$D$208,U$12))</f>
        <v>235844.10092952661</v>
      </c>
      <c r="V35" s="13" cm="1">
        <f t="array" ref="V35">_xlfn.IFS($G35="__overall__",
SUMIFS(PremRes!$G$8:$G$208,PremRes!$B$8:$B$208,$G35,PremRes!$C$8:$C$208,$H35,PremRes!$F$8:$F$208,$I35,PremRes!$D$8:$D$208,V$12),
TRUE,
SUMIFS(PremRes!$G$8:$G$208,PremRes!$B$8:$B$208,"level_"&amp;$G35,PremRes!$C$8:$C$208,$H35,PremRes!$F$8:$F$208,$I35,PremRes!$D$8:$D$208,V$12))</f>
        <v>392812.26468703337</v>
      </c>
      <c r="X35" s="101">
        <f t="shared" si="5"/>
        <v>0</v>
      </c>
      <c r="Y35" s="101">
        <f t="shared" si="3"/>
        <v>-4.6566128730773926E-10</v>
      </c>
      <c r="Z35" s="101">
        <f t="shared" si="4"/>
        <v>1.862645149230957E-9</v>
      </c>
    </row>
    <row r="36" spans="6:26">
      <c r="F36" s="4">
        <v>23</v>
      </c>
      <c r="G36" s="4">
        <v>1</v>
      </c>
      <c r="H36" s="4" t="str">
        <v>specialised</v>
      </c>
      <c r="I36" s="4" t="str">
        <v>company_b</v>
      </c>
      <c r="K36" s="13">
        <v>23</v>
      </c>
      <c r="L36" s="13">
        <v>4935350.2792663304</v>
      </c>
      <c r="M36" s="13">
        <v>2727406.6201843969</v>
      </c>
      <c r="N36" s="13">
        <v>6762051.6101975571</v>
      </c>
      <c r="O36" s="10"/>
      <c r="P36" s="13">
        <f t="shared" si="0"/>
        <v>254882.10697804298</v>
      </c>
      <c r="Q36" s="13">
        <f t="shared" si="6"/>
        <v>220388.08140829392</v>
      </c>
      <c r="R36" s="13">
        <f t="shared" si="2"/>
        <v>409334.75601681881</v>
      </c>
      <c r="S36" s="11"/>
      <c r="T36" s="13" cm="1">
        <f t="array" ref="T36">_xlfn.IFS($G36="__overall__",
SUMIFS(PremRes!$G$8:$G$208,PremRes!$B$8:$B$208,$G36,PremRes!$C$8:$C$208,$H36,PremRes!$F$8:$F$208,$I36,PremRes!$D$8:$D$208,T$12),
TRUE,
SUMIFS(PremRes!$G$8:$G$208,PremRes!$B$8:$B$208,"level_"&amp;$G36,PremRes!$C$8:$C$208,$H36,PremRes!$F$8:$F$208,$I36,PremRes!$D$8:$D$208,T$12))</f>
        <v>254882.10697804391</v>
      </c>
      <c r="U36" s="13" cm="1">
        <f t="array" ref="U36">_xlfn.IFS($G36="__overall__",
SUMIFS(PremRes!$G$8:$G$208,PremRes!$B$8:$B$208,$G36,PremRes!$C$8:$C$208,$H36,PremRes!$F$8:$F$208,$I36,PremRes!$D$8:$D$208,U$12),
TRUE,
SUMIFS(PremRes!$G$8:$G$208,PremRes!$B$8:$B$208,"level_"&amp;$G36,PremRes!$C$8:$C$208,$H36,PremRes!$F$8:$F$208,$I36,PremRes!$D$8:$D$208,U$12))</f>
        <v>220388.08140829438</v>
      </c>
      <c r="V36" s="13" cm="1">
        <f t="array" ref="V36">_xlfn.IFS($G36="__overall__",
SUMIFS(PremRes!$G$8:$G$208,PremRes!$B$8:$B$208,$G36,PremRes!$C$8:$C$208,$H36,PremRes!$F$8:$F$208,$I36,PremRes!$D$8:$D$208,V$12),
TRUE,
SUMIFS(PremRes!$G$8:$G$208,PremRes!$B$8:$B$208,"level_"&amp;$G36,PremRes!$C$8:$C$208,$H36,PremRes!$F$8:$F$208,$I36,PremRes!$D$8:$D$208,V$12))</f>
        <v>409334.75601681881</v>
      </c>
      <c r="X36" s="101">
        <f t="shared" si="5"/>
        <v>-9.3132257461547852E-10</v>
      </c>
      <c r="Y36" s="101">
        <f t="shared" si="3"/>
        <v>-4.6566128730773926E-10</v>
      </c>
      <c r="Z36" s="101">
        <f t="shared" si="4"/>
        <v>0</v>
      </c>
    </row>
    <row r="37" spans="6:26">
      <c r="F37" s="4">
        <v>24</v>
      </c>
      <c r="G37" s="4">
        <v>1</v>
      </c>
      <c r="H37" s="4" t="str">
        <v>specialised</v>
      </c>
      <c r="I37" s="4" t="str">
        <v>company_c</v>
      </c>
      <c r="K37" s="13">
        <v>24</v>
      </c>
      <c r="L37" s="13">
        <v>4819615.1025340799</v>
      </c>
      <c r="M37" s="13">
        <v>2568243.3039642768</v>
      </c>
      <c r="N37" s="13">
        <v>6530810.5503841108</v>
      </c>
      <c r="O37" s="10"/>
      <c r="P37" s="13">
        <f t="shared" si="0"/>
        <v>139146.93024579249</v>
      </c>
      <c r="Q37" s="13">
        <f t="shared" si="6"/>
        <v>61224.765188173857</v>
      </c>
      <c r="R37" s="13">
        <f t="shared" si="2"/>
        <v>178093.69620337244</v>
      </c>
      <c r="S37" s="11"/>
      <c r="T37" s="13" cm="1">
        <f t="array" ref="T37">_xlfn.IFS($G37="__overall__",
SUMIFS(PremRes!$G$8:$G$208,PremRes!$B$8:$B$208,$G37,PremRes!$C$8:$C$208,$H37,PremRes!$F$8:$F$208,$I37,PremRes!$D$8:$D$208,T$12),
TRUE,
SUMIFS(PremRes!$G$8:$G$208,PremRes!$B$8:$B$208,"level_"&amp;$G37,PremRes!$C$8:$C$208,$H37,PremRes!$F$8:$F$208,$I37,PremRes!$D$8:$D$208,T$12))</f>
        <v>139146.93024579342</v>
      </c>
      <c r="U37" s="13" cm="1">
        <f t="array" ref="U37">_xlfn.IFS($G37="__overall__",
SUMIFS(PremRes!$G$8:$G$208,PremRes!$B$8:$B$208,$G37,PremRes!$C$8:$C$208,$H37,PremRes!$F$8:$F$208,$I37,PremRes!$D$8:$D$208,U$12),
TRUE,
SUMIFS(PremRes!$G$8:$G$208,PremRes!$B$8:$B$208,"level_"&amp;$G37,PremRes!$C$8:$C$208,$H37,PremRes!$F$8:$F$208,$I37,PremRes!$D$8:$D$208,U$12))</f>
        <v>61224.765188174788</v>
      </c>
      <c r="V37" s="13" cm="1">
        <f t="array" ref="V37">_xlfn.IFS($G37="__overall__",
SUMIFS(PremRes!$G$8:$G$208,PremRes!$B$8:$B$208,$G37,PremRes!$C$8:$C$208,$H37,PremRes!$F$8:$F$208,$I37,PremRes!$D$8:$D$208,V$12),
TRUE,
SUMIFS(PremRes!$G$8:$G$208,PremRes!$B$8:$B$208,"level_"&amp;$G37,PremRes!$C$8:$C$208,$H37,PremRes!$F$8:$F$208,$I37,PremRes!$D$8:$D$208,V$12))</f>
        <v>178093.69620337337</v>
      </c>
      <c r="X37" s="101">
        <f t="shared" si="5"/>
        <v>-9.3132257461547852E-10</v>
      </c>
      <c r="Y37" s="101">
        <f t="shared" si="3"/>
        <v>-9.3132257461547852E-10</v>
      </c>
      <c r="Z37" s="101">
        <f t="shared" si="4"/>
        <v>-9.3132257461547852E-10</v>
      </c>
    </row>
    <row r="38" spans="6:26">
      <c r="F38" s="4">
        <v>25</v>
      </c>
      <c r="G38" s="4">
        <v>1</v>
      </c>
      <c r="H38" s="4" t="str">
        <v>specialised</v>
      </c>
      <c r="I38" s="4" t="str">
        <v>company_d</v>
      </c>
      <c r="K38" s="13">
        <v>25</v>
      </c>
      <c r="L38" s="13">
        <v>4680468.1722882874</v>
      </c>
      <c r="M38" s="13">
        <v>2507018.5387761029</v>
      </c>
      <c r="N38" s="13">
        <v>6352716.8541807383</v>
      </c>
      <c r="O38" s="10"/>
      <c r="P38" s="13">
        <f t="shared" si="0"/>
        <v>0</v>
      </c>
      <c r="Q38" s="13">
        <f t="shared" si="6"/>
        <v>0</v>
      </c>
      <c r="R38" s="13">
        <f t="shared" si="2"/>
        <v>0</v>
      </c>
      <c r="S38" s="11"/>
      <c r="T38" s="13" cm="1">
        <f t="array" ref="T38">_xlfn.IFS($G38="__overall__",
SUMIFS(PremRes!$G$8:$G$208,PremRes!$B$8:$B$208,$G38,PremRes!$C$8:$C$208,$H38,PremRes!$F$8:$F$208,$I38,PremRes!$D$8:$D$208,T$12),
TRUE,
SUMIFS(PremRes!$G$8:$G$208,PremRes!$B$8:$B$208,"level_"&amp;$G38,PremRes!$C$8:$C$208,$H38,PremRes!$F$8:$F$208,$I38,PremRes!$D$8:$D$208,T$12))</f>
        <v>0</v>
      </c>
      <c r="U38" s="13" cm="1">
        <f t="array" ref="U38">_xlfn.IFS($G38="__overall__",
SUMIFS(PremRes!$G$8:$G$208,PremRes!$B$8:$B$208,$G38,PremRes!$C$8:$C$208,$H38,PremRes!$F$8:$F$208,$I38,PremRes!$D$8:$D$208,U$12),
TRUE,
SUMIFS(PremRes!$G$8:$G$208,PremRes!$B$8:$B$208,"level_"&amp;$G38,PremRes!$C$8:$C$208,$H38,PremRes!$F$8:$F$208,$I38,PremRes!$D$8:$D$208,U$12))</f>
        <v>0</v>
      </c>
      <c r="V38" s="13" cm="1">
        <f t="array" ref="V38">_xlfn.IFS($G38="__overall__",
SUMIFS(PremRes!$G$8:$G$208,PremRes!$B$8:$B$208,$G38,PremRes!$C$8:$C$208,$H38,PremRes!$F$8:$F$208,$I38,PremRes!$D$8:$D$208,V$12),
TRUE,
SUMIFS(PremRes!$G$8:$G$208,PremRes!$B$8:$B$208,"level_"&amp;$G38,PremRes!$C$8:$C$208,$H38,PremRes!$F$8:$F$208,$I38,PremRes!$D$8:$D$208,V$12))</f>
        <v>0</v>
      </c>
      <c r="X38" s="101">
        <f t="shared" si="5"/>
        <v>0</v>
      </c>
      <c r="Y38" s="101">
        <f t="shared" si="3"/>
        <v>0</v>
      </c>
      <c r="Z38" s="101">
        <f t="shared" si="4"/>
        <v>0</v>
      </c>
    </row>
    <row r="39" spans="6:26">
      <c r="F39" s="4">
        <v>26</v>
      </c>
      <c r="G39" s="4">
        <v>1</v>
      </c>
      <c r="H39" s="4" t="str">
        <v>specialised</v>
      </c>
      <c r="I39" s="4" t="str">
        <v>company_e</v>
      </c>
      <c r="K39" s="13">
        <v>26</v>
      </c>
      <c r="L39" s="13">
        <v>4680468.1722882874</v>
      </c>
      <c r="M39" s="13">
        <v>2507018.5387761029</v>
      </c>
      <c r="N39" s="13">
        <v>6352716.8541807383</v>
      </c>
      <c r="O39" s="10"/>
      <c r="P39" s="13">
        <f t="shared" si="0"/>
        <v>0</v>
      </c>
      <c r="Q39" s="13">
        <f t="shared" si="6"/>
        <v>0</v>
      </c>
      <c r="R39" s="13">
        <f t="shared" si="2"/>
        <v>0</v>
      </c>
      <c r="S39" s="11"/>
      <c r="T39" s="13" cm="1">
        <f t="array" ref="T39">_xlfn.IFS($G39="__overall__",
SUMIFS(PremRes!$G$8:$G$208,PremRes!$B$8:$B$208,$G39,PremRes!$C$8:$C$208,$H39,PremRes!$F$8:$F$208,$I39,PremRes!$D$8:$D$208,T$12),
TRUE,
SUMIFS(PremRes!$G$8:$G$208,PremRes!$B$8:$B$208,"level_"&amp;$G39,PremRes!$C$8:$C$208,$H39,PremRes!$F$8:$F$208,$I39,PremRes!$D$8:$D$208,T$12))</f>
        <v>0</v>
      </c>
      <c r="U39" s="13" cm="1">
        <f t="array" ref="U39">_xlfn.IFS($G39="__overall__",
SUMIFS(PremRes!$G$8:$G$208,PremRes!$B$8:$B$208,$G39,PremRes!$C$8:$C$208,$H39,PremRes!$F$8:$F$208,$I39,PremRes!$D$8:$D$208,U$12),
TRUE,
SUMIFS(PremRes!$G$8:$G$208,PremRes!$B$8:$B$208,"level_"&amp;$G39,PremRes!$C$8:$C$208,$H39,PremRes!$F$8:$F$208,$I39,PremRes!$D$8:$D$208,U$12))</f>
        <v>0</v>
      </c>
      <c r="V39" s="13" cm="1">
        <f t="array" ref="V39">_xlfn.IFS($G39="__overall__",
SUMIFS(PremRes!$G$8:$G$208,PremRes!$B$8:$B$208,$G39,PremRes!$C$8:$C$208,$H39,PremRes!$F$8:$F$208,$I39,PremRes!$D$8:$D$208,V$12),
TRUE,
SUMIFS(PremRes!$G$8:$G$208,PremRes!$B$8:$B$208,"level_"&amp;$G39,PremRes!$C$8:$C$208,$H39,PremRes!$F$8:$F$208,$I39,PremRes!$D$8:$D$208,V$12))</f>
        <v>0</v>
      </c>
      <c r="X39" s="101">
        <f t="shared" si="5"/>
        <v>0</v>
      </c>
      <c r="Y39" s="101">
        <f t="shared" si="3"/>
        <v>0</v>
      </c>
      <c r="Z39" s="101">
        <f t="shared" si="4"/>
        <v>0</v>
      </c>
    </row>
    <row r="40" spans="6:26">
      <c r="F40" s="4">
        <v>27</v>
      </c>
      <c r="G40" s="4">
        <v>1</v>
      </c>
      <c r="H40" s="4" t="str">
        <v>specialised</v>
      </c>
      <c r="I40" s="4" t="str">
        <v>company_g</v>
      </c>
      <c r="K40" s="13">
        <v>27</v>
      </c>
      <c r="L40" s="13">
        <v>4680468.1722882874</v>
      </c>
      <c r="M40" s="13">
        <v>2507018.5387761029</v>
      </c>
      <c r="N40" s="13">
        <v>6352716.8541807383</v>
      </c>
      <c r="O40" s="10"/>
      <c r="P40" s="13">
        <f t="shared" si="0"/>
        <v>0</v>
      </c>
      <c r="Q40" s="13">
        <f t="shared" si="6"/>
        <v>0</v>
      </c>
      <c r="R40" s="13">
        <f t="shared" si="2"/>
        <v>0</v>
      </c>
      <c r="S40" s="11"/>
      <c r="T40" s="13" cm="1">
        <f t="array" ref="T40">_xlfn.IFS($G40="__overall__",
SUMIFS(PremRes!$G$8:$G$208,PremRes!$B$8:$B$208,$G40,PremRes!$C$8:$C$208,$H40,PremRes!$F$8:$F$208,$I40,PremRes!$D$8:$D$208,T$12),
TRUE,
SUMIFS(PremRes!$G$8:$G$208,PremRes!$B$8:$B$208,"level_"&amp;$G40,PremRes!$C$8:$C$208,$H40,PremRes!$F$8:$F$208,$I40,PremRes!$D$8:$D$208,T$12))</f>
        <v>0</v>
      </c>
      <c r="U40" s="13" cm="1">
        <f t="array" ref="U40">_xlfn.IFS($G40="__overall__",
SUMIFS(PremRes!$G$8:$G$208,PremRes!$B$8:$B$208,$G40,PremRes!$C$8:$C$208,$H40,PremRes!$F$8:$F$208,$I40,PremRes!$D$8:$D$208,U$12),
TRUE,
SUMIFS(PremRes!$G$8:$G$208,PremRes!$B$8:$B$208,"level_"&amp;$G40,PremRes!$C$8:$C$208,$H40,PremRes!$F$8:$F$208,$I40,PremRes!$D$8:$D$208,U$12))</f>
        <v>0</v>
      </c>
      <c r="V40" s="13" cm="1">
        <f t="array" ref="V40">_xlfn.IFS($G40="__overall__",
SUMIFS(PremRes!$G$8:$G$208,PremRes!$B$8:$B$208,$G40,PremRes!$C$8:$C$208,$H40,PremRes!$F$8:$F$208,$I40,PremRes!$D$8:$D$208,V$12),
TRUE,
SUMIFS(PremRes!$G$8:$G$208,PremRes!$B$8:$B$208,"level_"&amp;$G40,PremRes!$C$8:$C$208,$H40,PremRes!$F$8:$F$208,$I40,PremRes!$D$8:$D$208,V$12))</f>
        <v>0</v>
      </c>
      <c r="X40" s="101">
        <f t="shared" si="5"/>
        <v>0</v>
      </c>
      <c r="Y40" s="101">
        <f t="shared" si="3"/>
        <v>0</v>
      </c>
      <c r="Z40" s="101">
        <f t="shared" si="4"/>
        <v>0</v>
      </c>
    </row>
    <row r="41" spans="6:26">
      <c r="F41" s="4">
        <v>28</v>
      </c>
      <c r="G41" s="4">
        <v>1</v>
      </c>
      <c r="H41" s="4" t="str">
        <v>partnerships</v>
      </c>
      <c r="I41" s="4" t="str">
        <v>gross charge</v>
      </c>
      <c r="K41" s="13">
        <v>28</v>
      </c>
      <c r="L41" s="13">
        <v>679467.3</v>
      </c>
      <c r="M41" s="13">
        <v>201761.33670000001</v>
      </c>
      <c r="N41" s="13">
        <v>799670.98199709656</v>
      </c>
      <c r="O41" s="10"/>
      <c r="P41" s="13">
        <f t="shared" si="0"/>
        <v>679467.3</v>
      </c>
      <c r="Q41" s="13">
        <f t="shared" si="6"/>
        <v>201761.33670000001</v>
      </c>
      <c r="R41" s="13">
        <f t="shared" si="2"/>
        <v>799670.98199709656</v>
      </c>
      <c r="S41" s="11"/>
      <c r="T41" s="13" cm="1">
        <f t="array" ref="T41">_xlfn.IFS($G41="__overall__",
SUMIFS(PremRes!$G$8:$G$208,PremRes!$B$8:$B$208,$G41,PremRes!$C$8:$C$208,$H41,PremRes!$F$8:$F$208,$I41,PremRes!$D$8:$D$208,T$12),
TRUE,
SUMIFS(PremRes!$G$8:$G$208,PremRes!$B$8:$B$208,"level_"&amp;$G41,PremRes!$C$8:$C$208,$H41,PremRes!$F$8:$F$208,$I41,PremRes!$D$8:$D$208,T$12))</f>
        <v>679467.3</v>
      </c>
      <c r="U41" s="13" cm="1">
        <f t="array" ref="U41">_xlfn.IFS($G41="__overall__",
SUMIFS(PremRes!$G$8:$G$208,PremRes!$B$8:$B$208,$G41,PremRes!$C$8:$C$208,$H41,PremRes!$F$8:$F$208,$I41,PremRes!$D$8:$D$208,U$12),
TRUE,
SUMIFS(PremRes!$G$8:$G$208,PremRes!$B$8:$B$208,"level_"&amp;$G41,PremRes!$C$8:$C$208,$H41,PremRes!$F$8:$F$208,$I41,PremRes!$D$8:$D$208,U$12))</f>
        <v>201761.33670000001</v>
      </c>
      <c r="V41" s="13" cm="1">
        <f t="array" ref="V41">_xlfn.IFS($G41="__overall__",
SUMIFS(PremRes!$G$8:$G$208,PremRes!$B$8:$B$208,$G41,PremRes!$C$8:$C$208,$H41,PremRes!$F$8:$F$208,$I41,PremRes!$D$8:$D$208,V$12),
TRUE,
SUMIFS(PremRes!$G$8:$G$208,PremRes!$B$8:$B$208,"level_"&amp;$G41,PremRes!$C$8:$C$208,$H41,PremRes!$F$8:$F$208,$I41,PremRes!$D$8:$D$208,V$12))</f>
        <v>799670.98199709656</v>
      </c>
      <c r="X41" s="101">
        <f t="shared" si="5"/>
        <v>0</v>
      </c>
      <c r="Y41" s="101">
        <f t="shared" si="3"/>
        <v>0</v>
      </c>
      <c r="Z41" s="101">
        <f t="shared" si="4"/>
        <v>0</v>
      </c>
    </row>
    <row r="42" spans="6:26">
      <c r="F42" s="4">
        <v>29</v>
      </c>
      <c r="G42" s="4">
        <v>1</v>
      </c>
      <c r="H42" s="4" t="str">
        <v>partnerships</v>
      </c>
      <c r="I42" s="4" t="str">
        <v>net charge</v>
      </c>
      <c r="K42" s="13">
        <v>29</v>
      </c>
      <c r="L42" s="13">
        <v>679331.10000000009</v>
      </c>
      <c r="M42" s="13">
        <v>201761.33670000001</v>
      </c>
      <c r="N42" s="13">
        <v>799538.07364756695</v>
      </c>
      <c r="O42" s="10"/>
      <c r="P42" s="13">
        <f t="shared" si="0"/>
        <v>679331.10000000009</v>
      </c>
      <c r="Q42" s="13">
        <f t="shared" si="6"/>
        <v>201761.33670000001</v>
      </c>
      <c r="R42" s="13">
        <f t="shared" si="2"/>
        <v>799538.07364756695</v>
      </c>
      <c r="S42" s="11"/>
      <c r="T42" s="13" cm="1">
        <f t="array" ref="T42">_xlfn.IFS($G42="__overall__",
SUMIFS(PremRes!$G$8:$G$208,PremRes!$B$8:$B$208,$G42,PremRes!$C$8:$C$208,$H42,PremRes!$F$8:$F$208,$I42,PremRes!$D$8:$D$208,T$12),
TRUE,
SUMIFS(PremRes!$G$8:$G$208,PremRes!$B$8:$B$208,"level_"&amp;$G42,PremRes!$C$8:$C$208,$H42,PremRes!$F$8:$F$208,$I42,PremRes!$D$8:$D$208,T$12))</f>
        <v>679331.10000000009</v>
      </c>
      <c r="U42" s="13" cm="1">
        <f t="array" ref="U42">_xlfn.IFS($G42="__overall__",
SUMIFS(PremRes!$G$8:$G$208,PremRes!$B$8:$B$208,$G42,PremRes!$C$8:$C$208,$H42,PremRes!$F$8:$F$208,$I42,PremRes!$D$8:$D$208,U$12),
TRUE,
SUMIFS(PremRes!$G$8:$G$208,PremRes!$B$8:$B$208,"level_"&amp;$G42,PremRes!$C$8:$C$208,$H42,PremRes!$F$8:$F$208,$I42,PremRes!$D$8:$D$208,U$12))</f>
        <v>201761.33670000001</v>
      </c>
      <c r="V42" s="13" cm="1">
        <f t="array" ref="V42">_xlfn.IFS($G42="__overall__",
SUMIFS(PremRes!$G$8:$G$208,PremRes!$B$8:$B$208,$G42,PremRes!$C$8:$C$208,$H42,PremRes!$F$8:$F$208,$I42,PremRes!$D$8:$D$208,V$12),
TRUE,
SUMIFS(PremRes!$G$8:$G$208,PremRes!$B$8:$B$208,"level_"&amp;$G42,PremRes!$C$8:$C$208,$H42,PremRes!$F$8:$F$208,$I42,PremRes!$D$8:$D$208,V$12))</f>
        <v>799538.07364756695</v>
      </c>
      <c r="X42" s="101">
        <f t="shared" si="5"/>
        <v>0</v>
      </c>
      <c r="Y42" s="101">
        <f t="shared" si="3"/>
        <v>0</v>
      </c>
      <c r="Z42" s="101">
        <f t="shared" si="4"/>
        <v>0</v>
      </c>
    </row>
    <row r="43" spans="6:26">
      <c r="F43" s="4">
        <v>30</v>
      </c>
      <c r="G43" s="4">
        <v>1</v>
      </c>
      <c r="H43" s="4" t="str">
        <v>partnerships</v>
      </c>
      <c r="I43" s="4" t="str">
        <v>calculated net charge</v>
      </c>
      <c r="K43" s="13">
        <v>30</v>
      </c>
      <c r="L43" s="13">
        <v>679467.3</v>
      </c>
      <c r="M43" s="13">
        <v>201761.33670000001</v>
      </c>
      <c r="N43" s="13">
        <v>799670.98199709656</v>
      </c>
      <c r="O43" s="10"/>
      <c r="P43" s="13">
        <f t="shared" si="0"/>
        <v>679467.3</v>
      </c>
      <c r="Q43" s="13">
        <f t="shared" si="6"/>
        <v>201761.33670000001</v>
      </c>
      <c r="R43" s="13">
        <f t="shared" si="2"/>
        <v>799670.98199709656</v>
      </c>
      <c r="S43" s="11"/>
      <c r="T43" s="13" cm="1">
        <f t="array" ref="T43">_xlfn.IFS($G43="__overall__",
SUMIFS(PremRes!$G$8:$G$208,PremRes!$B$8:$B$208,$G43,PremRes!$C$8:$C$208,$H43,PremRes!$F$8:$F$208,$I43,PremRes!$D$8:$D$208,T$12),
TRUE,
SUMIFS(PremRes!$G$8:$G$208,PremRes!$B$8:$B$208,"level_"&amp;$G43,PremRes!$C$8:$C$208,$H43,PremRes!$F$8:$F$208,$I43,PremRes!$D$8:$D$208,T$12))</f>
        <v>679467.3</v>
      </c>
      <c r="U43" s="13" cm="1">
        <f t="array" ref="U43">_xlfn.IFS($G43="__overall__",
SUMIFS(PremRes!$G$8:$G$208,PremRes!$B$8:$B$208,$G43,PremRes!$C$8:$C$208,$H43,PremRes!$F$8:$F$208,$I43,PremRes!$D$8:$D$208,U$12),
TRUE,
SUMIFS(PremRes!$G$8:$G$208,PremRes!$B$8:$B$208,"level_"&amp;$G43,PremRes!$C$8:$C$208,$H43,PremRes!$F$8:$F$208,$I43,PremRes!$D$8:$D$208,U$12))</f>
        <v>201761.33670000001</v>
      </c>
      <c r="V43" s="13" cm="1">
        <f t="array" ref="V43">_xlfn.IFS($G43="__overall__",
SUMIFS(PremRes!$G$8:$G$208,PremRes!$B$8:$B$208,$G43,PremRes!$C$8:$C$208,$H43,PremRes!$F$8:$F$208,$I43,PremRes!$D$8:$D$208,V$12),
TRUE,
SUMIFS(PremRes!$G$8:$G$208,PremRes!$B$8:$B$208,"level_"&amp;$G43,PremRes!$C$8:$C$208,$H43,PremRes!$F$8:$F$208,$I43,PremRes!$D$8:$D$208,V$12))</f>
        <v>799670.98199709656</v>
      </c>
      <c r="X43" s="101">
        <f t="shared" si="5"/>
        <v>0</v>
      </c>
      <c r="Y43" s="101">
        <f t="shared" si="3"/>
        <v>0</v>
      </c>
      <c r="Z43" s="101">
        <f t="shared" si="4"/>
        <v>0</v>
      </c>
    </row>
    <row r="44" spans="6:26">
      <c r="F44" s="4">
        <v>31</v>
      </c>
      <c r="G44" s="4">
        <v>1</v>
      </c>
      <c r="H44" s="4" t="str">
        <v>partnerships</v>
      </c>
      <c r="I44" s="4" t="str">
        <v>company_a</v>
      </c>
      <c r="K44" s="13">
        <v>31</v>
      </c>
      <c r="L44" s="13">
        <v>679467.3</v>
      </c>
      <c r="M44" s="13">
        <v>201761.33670000001</v>
      </c>
      <c r="N44" s="13">
        <v>799670.98199709656</v>
      </c>
      <c r="O44" s="10"/>
      <c r="P44" s="13">
        <f t="shared" si="0"/>
        <v>0</v>
      </c>
      <c r="Q44" s="13">
        <f t="shared" si="6"/>
        <v>0</v>
      </c>
      <c r="R44" s="13">
        <f t="shared" si="2"/>
        <v>0</v>
      </c>
      <c r="S44" s="11"/>
      <c r="T44" s="13" cm="1">
        <f t="array" ref="T44">_xlfn.IFS($G44="__overall__",
SUMIFS(PremRes!$G$8:$G$208,PremRes!$B$8:$B$208,$G44,PremRes!$C$8:$C$208,$H44,PremRes!$F$8:$F$208,$I44,PremRes!$D$8:$D$208,T$12),
TRUE,
SUMIFS(PremRes!$G$8:$G$208,PremRes!$B$8:$B$208,"level_"&amp;$G44,PremRes!$C$8:$C$208,$H44,PremRes!$F$8:$F$208,$I44,PremRes!$D$8:$D$208,T$12))</f>
        <v>0</v>
      </c>
      <c r="U44" s="13" cm="1">
        <f t="array" ref="U44">_xlfn.IFS($G44="__overall__",
SUMIFS(PremRes!$G$8:$G$208,PremRes!$B$8:$B$208,$G44,PremRes!$C$8:$C$208,$H44,PremRes!$F$8:$F$208,$I44,PremRes!$D$8:$D$208,U$12),
TRUE,
SUMIFS(PremRes!$G$8:$G$208,PremRes!$B$8:$B$208,"level_"&amp;$G44,PremRes!$C$8:$C$208,$H44,PremRes!$F$8:$F$208,$I44,PremRes!$D$8:$D$208,U$12))</f>
        <v>0</v>
      </c>
      <c r="V44" s="13" cm="1">
        <f t="array" ref="V44">_xlfn.IFS($G44="__overall__",
SUMIFS(PremRes!$G$8:$G$208,PremRes!$B$8:$B$208,$G44,PremRes!$C$8:$C$208,$H44,PremRes!$F$8:$F$208,$I44,PremRes!$D$8:$D$208,V$12),
TRUE,
SUMIFS(PremRes!$G$8:$G$208,PremRes!$B$8:$B$208,"level_"&amp;$G44,PremRes!$C$8:$C$208,$H44,PremRes!$F$8:$F$208,$I44,PremRes!$D$8:$D$208,V$12))</f>
        <v>0</v>
      </c>
      <c r="X44" s="101">
        <f t="shared" si="5"/>
        <v>0</v>
      </c>
      <c r="Y44" s="101">
        <f t="shared" si="3"/>
        <v>0</v>
      </c>
      <c r="Z44" s="101">
        <f t="shared" si="4"/>
        <v>0</v>
      </c>
    </row>
    <row r="45" spans="6:26">
      <c r="F45" s="4">
        <v>32</v>
      </c>
      <c r="G45" s="4">
        <v>1</v>
      </c>
      <c r="H45" s="4" t="str">
        <v>partnerships</v>
      </c>
      <c r="I45" s="4" t="str">
        <v>company_b</v>
      </c>
      <c r="K45" s="13">
        <v>32</v>
      </c>
      <c r="L45" s="13">
        <v>679467.3</v>
      </c>
      <c r="M45" s="13">
        <v>201761.33670000001</v>
      </c>
      <c r="N45" s="13">
        <v>799670.98199709656</v>
      </c>
      <c r="O45" s="10"/>
      <c r="P45" s="13">
        <f t="shared" si="0"/>
        <v>0</v>
      </c>
      <c r="Q45" s="13">
        <f t="shared" si="6"/>
        <v>0</v>
      </c>
      <c r="R45" s="13">
        <f t="shared" si="2"/>
        <v>0</v>
      </c>
      <c r="S45" s="11"/>
      <c r="T45" s="13" cm="1">
        <f t="array" ref="T45">_xlfn.IFS($G45="__overall__",
SUMIFS(PremRes!$G$8:$G$208,PremRes!$B$8:$B$208,$G45,PremRes!$C$8:$C$208,$H45,PremRes!$F$8:$F$208,$I45,PremRes!$D$8:$D$208,T$12),
TRUE,
SUMIFS(PremRes!$G$8:$G$208,PremRes!$B$8:$B$208,"level_"&amp;$G45,PremRes!$C$8:$C$208,$H45,PremRes!$F$8:$F$208,$I45,PremRes!$D$8:$D$208,T$12))</f>
        <v>0</v>
      </c>
      <c r="U45" s="13" cm="1">
        <f t="array" ref="U45">_xlfn.IFS($G45="__overall__",
SUMIFS(PremRes!$G$8:$G$208,PremRes!$B$8:$B$208,$G45,PremRes!$C$8:$C$208,$H45,PremRes!$F$8:$F$208,$I45,PremRes!$D$8:$D$208,U$12),
TRUE,
SUMIFS(PremRes!$G$8:$G$208,PremRes!$B$8:$B$208,"level_"&amp;$G45,PremRes!$C$8:$C$208,$H45,PremRes!$F$8:$F$208,$I45,PremRes!$D$8:$D$208,U$12))</f>
        <v>0</v>
      </c>
      <c r="V45" s="13" cm="1">
        <f t="array" ref="V45">_xlfn.IFS($G45="__overall__",
SUMIFS(PremRes!$G$8:$G$208,PremRes!$B$8:$B$208,$G45,PremRes!$C$8:$C$208,$H45,PremRes!$F$8:$F$208,$I45,PremRes!$D$8:$D$208,V$12),
TRUE,
SUMIFS(PremRes!$G$8:$G$208,PremRes!$B$8:$B$208,"level_"&amp;$G45,PremRes!$C$8:$C$208,$H45,PremRes!$F$8:$F$208,$I45,PremRes!$D$8:$D$208,V$12))</f>
        <v>0</v>
      </c>
      <c r="X45" s="101">
        <f t="shared" si="5"/>
        <v>0</v>
      </c>
      <c r="Y45" s="101">
        <f t="shared" si="3"/>
        <v>0</v>
      </c>
      <c r="Z45" s="101">
        <f t="shared" si="4"/>
        <v>0</v>
      </c>
    </row>
    <row r="46" spans="6:26">
      <c r="F46" s="4">
        <v>33</v>
      </c>
      <c r="G46" s="4">
        <v>1</v>
      </c>
      <c r="H46" s="4" t="str">
        <v>partnerships</v>
      </c>
      <c r="I46" s="4" t="str">
        <v>company_c</v>
      </c>
      <c r="K46" s="13">
        <v>33</v>
      </c>
      <c r="L46" s="13">
        <v>679467.3</v>
      </c>
      <c r="M46" s="13">
        <v>201761.33670000001</v>
      </c>
      <c r="N46" s="13">
        <v>799670.98199709656</v>
      </c>
      <c r="O46" s="10"/>
      <c r="P46" s="13">
        <f t="shared" si="0"/>
        <v>0</v>
      </c>
      <c r="Q46" s="13">
        <f t="shared" si="6"/>
        <v>0</v>
      </c>
      <c r="R46" s="13">
        <f t="shared" si="2"/>
        <v>0</v>
      </c>
      <c r="S46" s="11"/>
      <c r="T46" s="13" cm="1">
        <f t="array" ref="T46">_xlfn.IFS($G46="__overall__",
SUMIFS(PremRes!$G$8:$G$208,PremRes!$B$8:$B$208,$G46,PremRes!$C$8:$C$208,$H46,PremRes!$F$8:$F$208,$I46,PremRes!$D$8:$D$208,T$12),
TRUE,
SUMIFS(PremRes!$G$8:$G$208,PremRes!$B$8:$B$208,"level_"&amp;$G46,PremRes!$C$8:$C$208,$H46,PremRes!$F$8:$F$208,$I46,PremRes!$D$8:$D$208,T$12))</f>
        <v>0</v>
      </c>
      <c r="U46" s="13" cm="1">
        <f t="array" ref="U46">_xlfn.IFS($G46="__overall__",
SUMIFS(PremRes!$G$8:$G$208,PremRes!$B$8:$B$208,$G46,PremRes!$C$8:$C$208,$H46,PremRes!$F$8:$F$208,$I46,PremRes!$D$8:$D$208,U$12),
TRUE,
SUMIFS(PremRes!$G$8:$G$208,PremRes!$B$8:$B$208,"level_"&amp;$G46,PremRes!$C$8:$C$208,$H46,PremRes!$F$8:$F$208,$I46,PremRes!$D$8:$D$208,U$12))</f>
        <v>0</v>
      </c>
      <c r="V46" s="13" cm="1">
        <f t="array" ref="V46">_xlfn.IFS($G46="__overall__",
SUMIFS(PremRes!$G$8:$G$208,PremRes!$B$8:$B$208,$G46,PremRes!$C$8:$C$208,$H46,PremRes!$F$8:$F$208,$I46,PremRes!$D$8:$D$208,V$12),
TRUE,
SUMIFS(PremRes!$G$8:$G$208,PremRes!$B$8:$B$208,"level_"&amp;$G46,PremRes!$C$8:$C$208,$H46,PremRes!$F$8:$F$208,$I46,PremRes!$D$8:$D$208,V$12))</f>
        <v>0</v>
      </c>
      <c r="X46" s="101">
        <f t="shared" si="5"/>
        <v>0</v>
      </c>
      <c r="Y46" s="101">
        <f t="shared" si="3"/>
        <v>0</v>
      </c>
      <c r="Z46" s="101">
        <f t="shared" si="4"/>
        <v>0</v>
      </c>
    </row>
    <row r="47" spans="6:26">
      <c r="F47" s="4">
        <v>34</v>
      </c>
      <c r="G47" s="4">
        <v>1</v>
      </c>
      <c r="H47" s="4" t="str">
        <v>partnerships</v>
      </c>
      <c r="I47" s="4" t="str">
        <v>company_d</v>
      </c>
      <c r="K47" s="13">
        <v>34</v>
      </c>
      <c r="L47" s="13">
        <v>679467.3</v>
      </c>
      <c r="M47" s="13">
        <v>201761.33670000001</v>
      </c>
      <c r="N47" s="13">
        <v>799670.98199709656</v>
      </c>
      <c r="O47" s="10"/>
      <c r="P47" s="13">
        <f t="shared" si="0"/>
        <v>0</v>
      </c>
      <c r="Q47" s="13">
        <f t="shared" si="6"/>
        <v>0</v>
      </c>
      <c r="R47" s="13">
        <f t="shared" si="2"/>
        <v>0</v>
      </c>
      <c r="S47" s="11"/>
      <c r="T47" s="13" cm="1">
        <f t="array" ref="T47">_xlfn.IFS($G47="__overall__",
SUMIFS(PremRes!$G$8:$G$208,PremRes!$B$8:$B$208,$G47,PremRes!$C$8:$C$208,$H47,PremRes!$F$8:$F$208,$I47,PremRes!$D$8:$D$208,T$12),
TRUE,
SUMIFS(PremRes!$G$8:$G$208,PremRes!$B$8:$B$208,"level_"&amp;$G47,PremRes!$C$8:$C$208,$H47,PremRes!$F$8:$F$208,$I47,PremRes!$D$8:$D$208,T$12))</f>
        <v>0</v>
      </c>
      <c r="U47" s="13" cm="1">
        <f t="array" ref="U47">_xlfn.IFS($G47="__overall__",
SUMIFS(PremRes!$G$8:$G$208,PremRes!$B$8:$B$208,$G47,PremRes!$C$8:$C$208,$H47,PremRes!$F$8:$F$208,$I47,PremRes!$D$8:$D$208,U$12),
TRUE,
SUMIFS(PremRes!$G$8:$G$208,PremRes!$B$8:$B$208,"level_"&amp;$G47,PremRes!$C$8:$C$208,$H47,PremRes!$F$8:$F$208,$I47,PremRes!$D$8:$D$208,U$12))</f>
        <v>0</v>
      </c>
      <c r="V47" s="13" cm="1">
        <f t="array" ref="V47">_xlfn.IFS($G47="__overall__",
SUMIFS(PremRes!$G$8:$G$208,PremRes!$B$8:$B$208,$G47,PremRes!$C$8:$C$208,$H47,PremRes!$F$8:$F$208,$I47,PremRes!$D$8:$D$208,V$12),
TRUE,
SUMIFS(PremRes!$G$8:$G$208,PremRes!$B$8:$B$208,"level_"&amp;$G47,PremRes!$C$8:$C$208,$H47,PremRes!$F$8:$F$208,$I47,PremRes!$D$8:$D$208,V$12))</f>
        <v>0</v>
      </c>
      <c r="X47" s="101">
        <f t="shared" si="5"/>
        <v>0</v>
      </c>
      <c r="Y47" s="101">
        <f t="shared" si="3"/>
        <v>0</v>
      </c>
      <c r="Z47" s="101">
        <f t="shared" si="4"/>
        <v>0</v>
      </c>
    </row>
    <row r="48" spans="6:26">
      <c r="F48" s="4">
        <v>35</v>
      </c>
      <c r="G48" s="4">
        <v>1</v>
      </c>
      <c r="H48" s="4" t="str">
        <v>partnerships</v>
      </c>
      <c r="I48" s="4" t="str">
        <v>company_e</v>
      </c>
      <c r="K48" s="13">
        <v>35</v>
      </c>
      <c r="L48" s="13">
        <v>679467.3</v>
      </c>
      <c r="M48" s="13">
        <v>201761.33670000001</v>
      </c>
      <c r="N48" s="13">
        <v>799670.98199709656</v>
      </c>
      <c r="O48" s="10"/>
      <c r="P48" s="13">
        <f t="shared" si="0"/>
        <v>0</v>
      </c>
      <c r="Q48" s="13">
        <f t="shared" si="6"/>
        <v>0</v>
      </c>
      <c r="R48" s="13">
        <f t="shared" si="2"/>
        <v>0</v>
      </c>
      <c r="S48" s="11"/>
      <c r="T48" s="13" cm="1">
        <f t="array" ref="T48">_xlfn.IFS($G48="__overall__",
SUMIFS(PremRes!$G$8:$G$208,PremRes!$B$8:$B$208,$G48,PremRes!$C$8:$C$208,$H48,PremRes!$F$8:$F$208,$I48,PremRes!$D$8:$D$208,T$12),
TRUE,
SUMIFS(PremRes!$G$8:$G$208,PremRes!$B$8:$B$208,"level_"&amp;$G48,PremRes!$C$8:$C$208,$H48,PremRes!$F$8:$F$208,$I48,PremRes!$D$8:$D$208,T$12))</f>
        <v>0</v>
      </c>
      <c r="U48" s="13" cm="1">
        <f t="array" ref="U48">_xlfn.IFS($G48="__overall__",
SUMIFS(PremRes!$G$8:$G$208,PremRes!$B$8:$B$208,$G48,PremRes!$C$8:$C$208,$H48,PremRes!$F$8:$F$208,$I48,PremRes!$D$8:$D$208,U$12),
TRUE,
SUMIFS(PremRes!$G$8:$G$208,PremRes!$B$8:$B$208,"level_"&amp;$G48,PremRes!$C$8:$C$208,$H48,PremRes!$F$8:$F$208,$I48,PremRes!$D$8:$D$208,U$12))</f>
        <v>0</v>
      </c>
      <c r="V48" s="13" cm="1">
        <f t="array" ref="V48">_xlfn.IFS($G48="__overall__",
SUMIFS(PremRes!$G$8:$G$208,PremRes!$B$8:$B$208,$G48,PremRes!$C$8:$C$208,$H48,PremRes!$F$8:$F$208,$I48,PremRes!$D$8:$D$208,V$12),
TRUE,
SUMIFS(PremRes!$G$8:$G$208,PremRes!$B$8:$B$208,"level_"&amp;$G48,PremRes!$C$8:$C$208,$H48,PremRes!$F$8:$F$208,$I48,PremRes!$D$8:$D$208,V$12))</f>
        <v>0</v>
      </c>
      <c r="X48" s="101">
        <f t="shared" si="5"/>
        <v>0</v>
      </c>
      <c r="Y48" s="101">
        <f t="shared" si="3"/>
        <v>0</v>
      </c>
      <c r="Z48" s="101">
        <f t="shared" si="4"/>
        <v>0</v>
      </c>
    </row>
    <row r="49" spans="6:26">
      <c r="F49" s="4">
        <v>36</v>
      </c>
      <c r="G49" s="4">
        <v>1</v>
      </c>
      <c r="H49" s="4" t="str">
        <v>partnerships</v>
      </c>
      <c r="I49" s="4" t="str">
        <v>company_g</v>
      </c>
      <c r="K49" s="13">
        <v>36</v>
      </c>
      <c r="L49" s="13">
        <v>679467.3</v>
      </c>
      <c r="M49" s="13">
        <v>201761.33670000001</v>
      </c>
      <c r="N49" s="13">
        <v>799670.98199709656</v>
      </c>
      <c r="O49" s="10"/>
      <c r="P49" s="13">
        <f t="shared" si="0"/>
        <v>0</v>
      </c>
      <c r="Q49" s="13">
        <f t="shared" si="6"/>
        <v>0</v>
      </c>
      <c r="R49" s="13">
        <f t="shared" si="2"/>
        <v>0</v>
      </c>
      <c r="S49" s="11"/>
      <c r="T49" s="13" cm="1">
        <f t="array" ref="T49">_xlfn.IFS($G49="__overall__",
SUMIFS(PremRes!$G$8:$G$208,PremRes!$B$8:$B$208,$G49,PremRes!$C$8:$C$208,$H49,PremRes!$F$8:$F$208,$I49,PremRes!$D$8:$D$208,T$12),
TRUE,
SUMIFS(PremRes!$G$8:$G$208,PremRes!$B$8:$B$208,"level_"&amp;$G49,PremRes!$C$8:$C$208,$H49,PremRes!$F$8:$F$208,$I49,PremRes!$D$8:$D$208,T$12))</f>
        <v>0</v>
      </c>
      <c r="U49" s="13" cm="1">
        <f t="array" ref="U49">_xlfn.IFS($G49="__overall__",
SUMIFS(PremRes!$G$8:$G$208,PremRes!$B$8:$B$208,$G49,PremRes!$C$8:$C$208,$H49,PremRes!$F$8:$F$208,$I49,PremRes!$D$8:$D$208,U$12),
TRUE,
SUMIFS(PremRes!$G$8:$G$208,PremRes!$B$8:$B$208,"level_"&amp;$G49,PremRes!$C$8:$C$208,$H49,PremRes!$F$8:$F$208,$I49,PremRes!$D$8:$D$208,U$12))</f>
        <v>0</v>
      </c>
      <c r="V49" s="13" cm="1">
        <f t="array" ref="V49">_xlfn.IFS($G49="__overall__",
SUMIFS(PremRes!$G$8:$G$208,PremRes!$B$8:$B$208,$G49,PremRes!$C$8:$C$208,$H49,PremRes!$F$8:$F$208,$I49,PremRes!$D$8:$D$208,V$12),
TRUE,
SUMIFS(PremRes!$G$8:$G$208,PremRes!$B$8:$B$208,"level_"&amp;$G49,PremRes!$C$8:$C$208,$H49,PremRes!$F$8:$F$208,$I49,PremRes!$D$8:$D$208,V$12))</f>
        <v>0</v>
      </c>
      <c r="X49" s="101">
        <f t="shared" si="5"/>
        <v>0</v>
      </c>
      <c r="Y49" s="101">
        <f t="shared" si="3"/>
        <v>0</v>
      </c>
      <c r="Z49" s="101">
        <f t="shared" si="4"/>
        <v>0</v>
      </c>
    </row>
    <row r="50" spans="6:26">
      <c r="F50" s="4">
        <v>37</v>
      </c>
      <c r="G50" s="4">
        <v>2</v>
      </c>
      <c r="H50" s="4" t="str">
        <v>gauteng</v>
      </c>
      <c r="I50" s="4" t="str">
        <v>gross charge</v>
      </c>
      <c r="K50" s="13">
        <v>37</v>
      </c>
      <c r="L50" s="13">
        <v>1869531.2586117061</v>
      </c>
      <c r="M50" s="13">
        <v>578086.5970245793</v>
      </c>
      <c r="N50" s="13">
        <v>2213874.1126166619</v>
      </c>
      <c r="O50" s="10"/>
      <c r="P50" s="13">
        <f t="shared" si="0"/>
        <v>1869531.2586117061</v>
      </c>
      <c r="Q50" s="13">
        <f t="shared" si="6"/>
        <v>578086.5970245793</v>
      </c>
      <c r="R50" s="13">
        <f t="shared" si="2"/>
        <v>2213874.1126166619</v>
      </c>
      <c r="S50" s="11"/>
      <c r="T50" s="13" cm="1">
        <f t="array" ref="T50">_xlfn.IFS($G50="__overall__",
SUMIFS(PremRes!$G$8:$G$208,PremRes!$B$8:$B$208,$G50,PremRes!$C$8:$C$208,$H50,PremRes!$F$8:$F$208,$I50,PremRes!$D$8:$D$208,T$12),
TRUE,
SUMIFS(PremRes!$G$8:$G$208,PremRes!$B$8:$B$208,"level_"&amp;$G50,PremRes!$C$8:$C$208,$H50,PremRes!$F$8:$F$208,$I50,PremRes!$D$8:$D$208,T$12))</f>
        <v>1869531.2586117061</v>
      </c>
      <c r="U50" s="13" cm="1">
        <f t="array" ref="U50">_xlfn.IFS($G50="__overall__",
SUMIFS(PremRes!$G$8:$G$208,PremRes!$B$8:$B$208,$G50,PremRes!$C$8:$C$208,$H50,PremRes!$F$8:$F$208,$I50,PremRes!$D$8:$D$208,U$12),
TRUE,
SUMIFS(PremRes!$G$8:$G$208,PremRes!$B$8:$B$208,"level_"&amp;$G50,PremRes!$C$8:$C$208,$H50,PremRes!$F$8:$F$208,$I50,PremRes!$D$8:$D$208,U$12))</f>
        <v>578086.5970245793</v>
      </c>
      <c r="V50" s="13" cm="1">
        <f t="array" ref="V50">_xlfn.IFS($G50="__overall__",
SUMIFS(PremRes!$G$8:$G$208,PremRes!$B$8:$B$208,$G50,PremRes!$C$8:$C$208,$H50,PremRes!$F$8:$F$208,$I50,PremRes!$D$8:$D$208,V$12),
TRUE,
SUMIFS(PremRes!$G$8:$G$208,PremRes!$B$8:$B$208,"level_"&amp;$G50,PremRes!$C$8:$C$208,$H50,PremRes!$F$8:$F$208,$I50,PremRes!$D$8:$D$208,V$12))</f>
        <v>2213874.1126166619</v>
      </c>
      <c r="X50" s="101">
        <f t="shared" si="5"/>
        <v>0</v>
      </c>
      <c r="Y50" s="101">
        <f t="shared" si="3"/>
        <v>0</v>
      </c>
      <c r="Z50" s="101">
        <f t="shared" si="4"/>
        <v>0</v>
      </c>
    </row>
    <row r="51" spans="6:26">
      <c r="F51" s="4">
        <v>38</v>
      </c>
      <c r="G51" s="4">
        <v>2</v>
      </c>
      <c r="H51" s="4" t="str">
        <v>gauteng</v>
      </c>
      <c r="I51" s="4" t="str">
        <v>net charge</v>
      </c>
      <c r="K51" s="13">
        <v>38</v>
      </c>
      <c r="L51" s="13">
        <v>934468.67649737909</v>
      </c>
      <c r="M51" s="13">
        <v>289043.29851228965</v>
      </c>
      <c r="N51" s="13">
        <v>1106642.14120881</v>
      </c>
      <c r="O51" s="10"/>
      <c r="P51" s="13">
        <f t="shared" si="0"/>
        <v>934468.67649737909</v>
      </c>
      <c r="Q51" s="13">
        <f t="shared" si="6"/>
        <v>289043.29851228965</v>
      </c>
      <c r="R51" s="13">
        <f t="shared" si="2"/>
        <v>1106642.14120881</v>
      </c>
      <c r="S51" s="11"/>
      <c r="T51" s="13" cm="1">
        <f t="array" ref="T51">_xlfn.IFS($G51="__overall__",
SUMIFS(PremRes!$G$8:$G$208,PremRes!$B$8:$B$208,$G51,PremRes!$C$8:$C$208,$H51,PremRes!$F$8:$F$208,$I51,PremRes!$D$8:$D$208,T$12),
TRUE,
SUMIFS(PremRes!$G$8:$G$208,PremRes!$B$8:$B$208,"level_"&amp;$G51,PremRes!$C$8:$C$208,$H51,PremRes!$F$8:$F$208,$I51,PremRes!$D$8:$D$208,T$12))</f>
        <v>934468.6764973792</v>
      </c>
      <c r="U51" s="13" cm="1">
        <f t="array" ref="U51">_xlfn.IFS($G51="__overall__",
SUMIFS(PremRes!$G$8:$G$208,PremRes!$B$8:$B$208,$G51,PremRes!$C$8:$C$208,$H51,PremRes!$F$8:$F$208,$I51,PremRes!$D$8:$D$208,U$12),
TRUE,
SUMIFS(PremRes!$G$8:$G$208,PremRes!$B$8:$B$208,"level_"&amp;$G51,PremRes!$C$8:$C$208,$H51,PremRes!$F$8:$F$208,$I51,PremRes!$D$8:$D$208,U$12))</f>
        <v>289043.29851228965</v>
      </c>
      <c r="V51" s="13" cm="1">
        <f t="array" ref="V51">_xlfn.IFS($G51="__overall__",
SUMIFS(PremRes!$G$8:$G$208,PremRes!$B$8:$B$208,$G51,PremRes!$C$8:$C$208,$H51,PremRes!$F$8:$F$208,$I51,PremRes!$D$8:$D$208,V$12),
TRUE,
SUMIFS(PremRes!$G$8:$G$208,PremRes!$B$8:$B$208,"level_"&amp;$G51,PremRes!$C$8:$C$208,$H51,PremRes!$F$8:$F$208,$I51,PremRes!$D$8:$D$208,V$12))</f>
        <v>1106642.1412088098</v>
      </c>
      <c r="X51" s="101">
        <f t="shared" si="5"/>
        <v>0</v>
      </c>
      <c r="Y51" s="101">
        <f t="shared" si="3"/>
        <v>0</v>
      </c>
      <c r="Z51" s="101">
        <f t="shared" si="4"/>
        <v>0</v>
      </c>
    </row>
    <row r="52" spans="6:26">
      <c r="F52" s="4">
        <v>39</v>
      </c>
      <c r="G52" s="4">
        <v>2</v>
      </c>
      <c r="H52" s="4" t="str">
        <v>gauteng</v>
      </c>
      <c r="I52" s="4" t="str">
        <v>calculated net charge</v>
      </c>
      <c r="K52" s="13">
        <v>39</v>
      </c>
      <c r="L52" s="13">
        <v>1028242.1922364383</v>
      </c>
      <c r="M52" s="13">
        <v>317947.62836351868</v>
      </c>
      <c r="N52" s="13">
        <v>1217630.761939164</v>
      </c>
      <c r="O52" s="10"/>
      <c r="P52" s="13">
        <f t="shared" si="0"/>
        <v>1028242.1922364383</v>
      </c>
      <c r="Q52" s="13">
        <f t="shared" si="6"/>
        <v>317947.62836351868</v>
      </c>
      <c r="R52" s="13">
        <f t="shared" si="2"/>
        <v>1217630.761939164</v>
      </c>
      <c r="S52" s="11"/>
      <c r="T52" s="13" cm="1">
        <f t="array" ref="T52">_xlfn.IFS($G52="__overall__",
SUMIFS(PremRes!$G$8:$G$208,PremRes!$B$8:$B$208,$G52,PremRes!$C$8:$C$208,$H52,PremRes!$F$8:$F$208,$I52,PremRes!$D$8:$D$208,T$12),
TRUE,
SUMIFS(PremRes!$G$8:$G$208,PremRes!$B$8:$B$208,"level_"&amp;$G52,PremRes!$C$8:$C$208,$H52,PremRes!$F$8:$F$208,$I52,PremRes!$D$8:$D$208,T$12))</f>
        <v>1028242.1922364383</v>
      </c>
      <c r="U52" s="13" cm="1">
        <f t="array" ref="U52">_xlfn.IFS($G52="__overall__",
SUMIFS(PremRes!$G$8:$G$208,PremRes!$B$8:$B$208,$G52,PremRes!$C$8:$C$208,$H52,PremRes!$F$8:$F$208,$I52,PremRes!$D$8:$D$208,U$12),
TRUE,
SUMIFS(PremRes!$G$8:$G$208,PremRes!$B$8:$B$208,"level_"&amp;$G52,PremRes!$C$8:$C$208,$H52,PremRes!$F$8:$F$208,$I52,PremRes!$D$8:$D$208,U$12))</f>
        <v>317947.62836351863</v>
      </c>
      <c r="V52" s="13" cm="1">
        <f t="array" ref="V52">_xlfn.IFS($G52="__overall__",
SUMIFS(PremRes!$G$8:$G$208,PremRes!$B$8:$B$208,$G52,PremRes!$C$8:$C$208,$H52,PremRes!$F$8:$F$208,$I52,PremRes!$D$8:$D$208,V$12),
TRUE,
SUMIFS(PremRes!$G$8:$G$208,PremRes!$B$8:$B$208,"level_"&amp;$G52,PremRes!$C$8:$C$208,$H52,PremRes!$F$8:$F$208,$I52,PremRes!$D$8:$D$208,V$12))</f>
        <v>1217630.761939164</v>
      </c>
      <c r="X52" s="101">
        <f t="shared" si="5"/>
        <v>0</v>
      </c>
      <c r="Y52" s="101">
        <f t="shared" si="3"/>
        <v>0</v>
      </c>
      <c r="Z52" s="101">
        <f t="shared" si="4"/>
        <v>0</v>
      </c>
    </row>
    <row r="53" spans="6:26">
      <c r="F53" s="4">
        <v>40</v>
      </c>
      <c r="G53" s="4">
        <v>2</v>
      </c>
      <c r="H53" s="4" t="str">
        <v>gauteng</v>
      </c>
      <c r="I53" s="4" t="str">
        <v>company_a</v>
      </c>
      <c r="K53" s="13">
        <v>40</v>
      </c>
      <c r="L53" s="13">
        <v>1495625.0068893649</v>
      </c>
      <c r="M53" s="13">
        <v>462469.27761966357</v>
      </c>
      <c r="N53" s="13">
        <v>1771099.2900933295</v>
      </c>
      <c r="O53" s="10"/>
      <c r="P53" s="13">
        <f t="shared" si="0"/>
        <v>467382.81465292664</v>
      </c>
      <c r="Q53" s="13">
        <f t="shared" si="6"/>
        <v>144521.64925614488</v>
      </c>
      <c r="R53" s="13">
        <f t="shared" si="2"/>
        <v>553468.52815416548</v>
      </c>
      <c r="S53" s="11"/>
      <c r="T53" s="13" cm="1">
        <f t="array" ref="T53">_xlfn.IFS($G53="__overall__",
SUMIFS(PremRes!$G$8:$G$208,PremRes!$B$8:$B$208,$G53,PremRes!$C$8:$C$208,$H53,PremRes!$F$8:$F$208,$I53,PremRes!$D$8:$D$208,T$12),
TRUE,
SUMIFS(PremRes!$G$8:$G$208,PremRes!$B$8:$B$208,"level_"&amp;$G53,PremRes!$C$8:$C$208,$H53,PremRes!$F$8:$F$208,$I53,PremRes!$D$8:$D$208,T$12))</f>
        <v>467382.81465292687</v>
      </c>
      <c r="U53" s="13" cm="1">
        <f t="array" ref="U53">_xlfn.IFS($G53="__overall__",
SUMIFS(PremRes!$G$8:$G$208,PremRes!$B$8:$B$208,$G53,PremRes!$C$8:$C$208,$H53,PremRes!$F$8:$F$208,$I53,PremRes!$D$8:$D$208,U$12),
TRUE,
SUMIFS(PremRes!$G$8:$G$208,PremRes!$B$8:$B$208,"level_"&amp;$G53,PremRes!$C$8:$C$208,$H53,PremRes!$F$8:$F$208,$I53,PremRes!$D$8:$D$208,U$12))</f>
        <v>144521.64925614488</v>
      </c>
      <c r="V53" s="13" cm="1">
        <f t="array" ref="V53">_xlfn.IFS($G53="__overall__",
SUMIFS(PremRes!$G$8:$G$208,PremRes!$B$8:$B$208,$G53,PremRes!$C$8:$C$208,$H53,PremRes!$F$8:$F$208,$I53,PremRes!$D$8:$D$208,V$12),
TRUE,
SUMIFS(PremRes!$G$8:$G$208,PremRes!$B$8:$B$208,"level_"&amp;$G53,PremRes!$C$8:$C$208,$H53,PremRes!$F$8:$F$208,$I53,PremRes!$D$8:$D$208,V$12))</f>
        <v>553468.52815416548</v>
      </c>
      <c r="X53" s="101">
        <f t="shared" si="5"/>
        <v>0</v>
      </c>
      <c r="Y53" s="101">
        <f t="shared" si="3"/>
        <v>0</v>
      </c>
      <c r="Z53" s="101">
        <f t="shared" si="4"/>
        <v>0</v>
      </c>
    </row>
    <row r="54" spans="6:26">
      <c r="F54" s="4">
        <v>41</v>
      </c>
      <c r="G54" s="4">
        <v>2</v>
      </c>
      <c r="H54" s="4" t="str">
        <v>gauteng</v>
      </c>
      <c r="I54" s="4" t="str">
        <v>company_b</v>
      </c>
      <c r="K54" s="13">
        <v>41</v>
      </c>
      <c r="L54" s="13">
        <v>1402148.4439587796</v>
      </c>
      <c r="M54" s="13">
        <v>433564.94776843447</v>
      </c>
      <c r="N54" s="13">
        <v>1660405.5844624965</v>
      </c>
      <c r="O54" s="10"/>
      <c r="P54" s="13">
        <f t="shared" si="0"/>
        <v>373906.25172234129</v>
      </c>
      <c r="Q54" s="13">
        <f t="shared" si="6"/>
        <v>115617.31940491579</v>
      </c>
      <c r="R54" s="13">
        <f t="shared" si="2"/>
        <v>442774.82252333243</v>
      </c>
      <c r="S54" s="11"/>
      <c r="T54" s="13" cm="1">
        <f t="array" ref="T54">_xlfn.IFS($G54="__overall__",
SUMIFS(PremRes!$G$8:$G$208,PremRes!$B$8:$B$208,$G54,PremRes!$C$8:$C$208,$H54,PremRes!$F$8:$F$208,$I54,PremRes!$D$8:$D$208,T$12),
TRUE,
SUMIFS(PremRes!$G$8:$G$208,PremRes!$B$8:$B$208,"level_"&amp;$G54,PremRes!$C$8:$C$208,$H54,PremRes!$F$8:$F$208,$I54,PremRes!$D$8:$D$208,T$12))</f>
        <v>373906.25172234129</v>
      </c>
      <c r="U54" s="13" cm="1">
        <f t="array" ref="U54">_xlfn.IFS($G54="__overall__",
SUMIFS(PremRes!$G$8:$G$208,PremRes!$B$8:$B$208,$G54,PremRes!$C$8:$C$208,$H54,PremRes!$F$8:$F$208,$I54,PremRes!$D$8:$D$208,U$12),
TRUE,
SUMIFS(PremRes!$G$8:$G$208,PremRes!$B$8:$B$208,"level_"&amp;$G54,PremRes!$C$8:$C$208,$H54,PremRes!$F$8:$F$208,$I54,PremRes!$D$8:$D$208,U$12))</f>
        <v>115617.31940491585</v>
      </c>
      <c r="V54" s="13" cm="1">
        <f t="array" ref="V54">_xlfn.IFS($G54="__overall__",
SUMIFS(PremRes!$G$8:$G$208,PremRes!$B$8:$B$208,$G54,PremRes!$C$8:$C$208,$H54,PremRes!$F$8:$F$208,$I54,PremRes!$D$8:$D$208,V$12),
TRUE,
SUMIFS(PremRes!$G$8:$G$208,PremRes!$B$8:$B$208,"level_"&amp;$G54,PremRes!$C$8:$C$208,$H54,PremRes!$F$8:$F$208,$I54,PremRes!$D$8:$D$208,V$12))</f>
        <v>442774.82252333243</v>
      </c>
      <c r="X54" s="101">
        <f t="shared" si="5"/>
        <v>0</v>
      </c>
      <c r="Y54" s="101">
        <f t="shared" si="3"/>
        <v>0</v>
      </c>
      <c r="Z54" s="101">
        <f t="shared" si="4"/>
        <v>0</v>
      </c>
    </row>
    <row r="55" spans="6:26">
      <c r="F55" s="4">
        <v>42</v>
      </c>
      <c r="G55" s="4">
        <v>2</v>
      </c>
      <c r="H55" s="4" t="str">
        <v>gauteng</v>
      </c>
      <c r="I55" s="4" t="str">
        <v>company_c</v>
      </c>
      <c r="K55" s="13">
        <v>42</v>
      </c>
      <c r="L55" s="13">
        <v>1028242.1922364383</v>
      </c>
      <c r="M55" s="13">
        <v>317947.62836351868</v>
      </c>
      <c r="N55" s="13">
        <v>1217630.761939164</v>
      </c>
      <c r="O55" s="10"/>
      <c r="P55" s="13">
        <f t="shared" si="0"/>
        <v>0</v>
      </c>
      <c r="Q55" s="13">
        <f t="shared" si="6"/>
        <v>0</v>
      </c>
      <c r="R55" s="13">
        <f t="shared" si="2"/>
        <v>0</v>
      </c>
      <c r="S55" s="11"/>
      <c r="T55" s="13" cm="1">
        <f t="array" ref="T55">_xlfn.IFS($G55="__overall__",
SUMIFS(PremRes!$G$8:$G$208,PremRes!$B$8:$B$208,$G55,PremRes!$C$8:$C$208,$H55,PremRes!$F$8:$F$208,$I55,PremRes!$D$8:$D$208,T$12),
TRUE,
SUMIFS(PremRes!$G$8:$G$208,PremRes!$B$8:$B$208,"level_"&amp;$G55,PremRes!$C$8:$C$208,$H55,PremRes!$F$8:$F$208,$I55,PremRes!$D$8:$D$208,T$12))</f>
        <v>0</v>
      </c>
      <c r="U55" s="13" cm="1">
        <f t="array" ref="U55">_xlfn.IFS($G55="__overall__",
SUMIFS(PremRes!$G$8:$G$208,PremRes!$B$8:$B$208,$G55,PremRes!$C$8:$C$208,$H55,PremRes!$F$8:$F$208,$I55,PremRes!$D$8:$D$208,U$12),
TRUE,
SUMIFS(PremRes!$G$8:$G$208,PremRes!$B$8:$B$208,"level_"&amp;$G55,PremRes!$C$8:$C$208,$H55,PremRes!$F$8:$F$208,$I55,PremRes!$D$8:$D$208,U$12))</f>
        <v>0</v>
      </c>
      <c r="V55" s="13" cm="1">
        <f t="array" ref="V55">_xlfn.IFS($G55="__overall__",
SUMIFS(PremRes!$G$8:$G$208,PremRes!$B$8:$B$208,$G55,PremRes!$C$8:$C$208,$H55,PremRes!$F$8:$F$208,$I55,PremRes!$D$8:$D$208,V$12),
TRUE,
SUMIFS(PremRes!$G$8:$G$208,PremRes!$B$8:$B$208,"level_"&amp;$G55,PremRes!$C$8:$C$208,$H55,PremRes!$F$8:$F$208,$I55,PremRes!$D$8:$D$208,V$12))</f>
        <v>0</v>
      </c>
      <c r="X55" s="101">
        <f t="shared" si="5"/>
        <v>0</v>
      </c>
      <c r="Y55" s="101">
        <f t="shared" si="3"/>
        <v>0</v>
      </c>
      <c r="Z55" s="101">
        <f t="shared" si="4"/>
        <v>0</v>
      </c>
    </row>
    <row r="56" spans="6:26">
      <c r="F56" s="4">
        <v>43</v>
      </c>
      <c r="G56" s="4">
        <v>2</v>
      </c>
      <c r="H56" s="4" t="str">
        <v>gauteng</v>
      </c>
      <c r="I56" s="4" t="str">
        <v>company_d</v>
      </c>
      <c r="K56" s="13">
        <v>43</v>
      </c>
      <c r="L56" s="13">
        <v>1028242.1922364383</v>
      </c>
      <c r="M56" s="13">
        <v>317947.62836351868</v>
      </c>
      <c r="N56" s="13">
        <v>1217630.761939164</v>
      </c>
      <c r="O56" s="10"/>
      <c r="P56" s="13">
        <f t="shared" si="0"/>
        <v>0</v>
      </c>
      <c r="Q56" s="13">
        <f t="shared" si="6"/>
        <v>0</v>
      </c>
      <c r="R56" s="13">
        <f t="shared" si="2"/>
        <v>0</v>
      </c>
      <c r="S56" s="11"/>
      <c r="T56" s="13" cm="1">
        <f t="array" ref="T56">_xlfn.IFS($G56="__overall__",
SUMIFS(PremRes!$G$8:$G$208,PremRes!$B$8:$B$208,$G56,PremRes!$C$8:$C$208,$H56,PremRes!$F$8:$F$208,$I56,PremRes!$D$8:$D$208,T$12),
TRUE,
SUMIFS(PremRes!$G$8:$G$208,PremRes!$B$8:$B$208,"level_"&amp;$G56,PremRes!$C$8:$C$208,$H56,PremRes!$F$8:$F$208,$I56,PremRes!$D$8:$D$208,T$12))</f>
        <v>0</v>
      </c>
      <c r="U56" s="13" cm="1">
        <f t="array" ref="U56">_xlfn.IFS($G56="__overall__",
SUMIFS(PremRes!$G$8:$G$208,PremRes!$B$8:$B$208,$G56,PremRes!$C$8:$C$208,$H56,PremRes!$F$8:$F$208,$I56,PremRes!$D$8:$D$208,U$12),
TRUE,
SUMIFS(PremRes!$G$8:$G$208,PremRes!$B$8:$B$208,"level_"&amp;$G56,PremRes!$C$8:$C$208,$H56,PremRes!$F$8:$F$208,$I56,PremRes!$D$8:$D$208,U$12))</f>
        <v>0</v>
      </c>
      <c r="V56" s="13" cm="1">
        <f t="array" ref="V56">_xlfn.IFS($G56="__overall__",
SUMIFS(PremRes!$G$8:$G$208,PremRes!$B$8:$B$208,$G56,PremRes!$C$8:$C$208,$H56,PremRes!$F$8:$F$208,$I56,PremRes!$D$8:$D$208,V$12),
TRUE,
SUMIFS(PremRes!$G$8:$G$208,PremRes!$B$8:$B$208,"level_"&amp;$G56,PremRes!$C$8:$C$208,$H56,PremRes!$F$8:$F$208,$I56,PremRes!$D$8:$D$208,V$12))</f>
        <v>0</v>
      </c>
      <c r="X56" s="101">
        <f t="shared" si="5"/>
        <v>0</v>
      </c>
      <c r="Y56" s="101">
        <f t="shared" si="3"/>
        <v>0</v>
      </c>
      <c r="Z56" s="101">
        <f t="shared" si="4"/>
        <v>0</v>
      </c>
    </row>
    <row r="57" spans="6:26">
      <c r="F57" s="4">
        <v>44</v>
      </c>
      <c r="G57" s="4">
        <v>2</v>
      </c>
      <c r="H57" s="4" t="str">
        <v>gauteng</v>
      </c>
      <c r="I57" s="4" t="str">
        <v>company_e</v>
      </c>
      <c r="K57" s="13">
        <v>44</v>
      </c>
      <c r="L57" s="13">
        <v>1028242.1922364383</v>
      </c>
      <c r="M57" s="13">
        <v>317947.62836351868</v>
      </c>
      <c r="N57" s="13">
        <v>1217630.761939164</v>
      </c>
      <c r="O57" s="10"/>
      <c r="P57" s="13">
        <f t="shared" si="0"/>
        <v>0</v>
      </c>
      <c r="Q57" s="13">
        <f t="shared" si="6"/>
        <v>0</v>
      </c>
      <c r="R57" s="13">
        <f t="shared" si="2"/>
        <v>0</v>
      </c>
      <c r="S57" s="11"/>
      <c r="T57" s="13" cm="1">
        <f t="array" ref="T57">_xlfn.IFS($G57="__overall__",
SUMIFS(PremRes!$G$8:$G$208,PremRes!$B$8:$B$208,$G57,PremRes!$C$8:$C$208,$H57,PremRes!$F$8:$F$208,$I57,PremRes!$D$8:$D$208,T$12),
TRUE,
SUMIFS(PremRes!$G$8:$G$208,PremRes!$B$8:$B$208,"level_"&amp;$G57,PremRes!$C$8:$C$208,$H57,PremRes!$F$8:$F$208,$I57,PremRes!$D$8:$D$208,T$12))</f>
        <v>0</v>
      </c>
      <c r="U57" s="13" cm="1">
        <f t="array" ref="U57">_xlfn.IFS($G57="__overall__",
SUMIFS(PremRes!$G$8:$G$208,PremRes!$B$8:$B$208,$G57,PremRes!$C$8:$C$208,$H57,PremRes!$F$8:$F$208,$I57,PremRes!$D$8:$D$208,U$12),
TRUE,
SUMIFS(PremRes!$G$8:$G$208,PremRes!$B$8:$B$208,"level_"&amp;$G57,PremRes!$C$8:$C$208,$H57,PremRes!$F$8:$F$208,$I57,PremRes!$D$8:$D$208,U$12))</f>
        <v>0</v>
      </c>
      <c r="V57" s="13" cm="1">
        <f t="array" ref="V57">_xlfn.IFS($G57="__overall__",
SUMIFS(PremRes!$G$8:$G$208,PremRes!$B$8:$B$208,$G57,PremRes!$C$8:$C$208,$H57,PremRes!$F$8:$F$208,$I57,PremRes!$D$8:$D$208,V$12),
TRUE,
SUMIFS(PremRes!$G$8:$G$208,PremRes!$B$8:$B$208,"level_"&amp;$G57,PremRes!$C$8:$C$208,$H57,PremRes!$F$8:$F$208,$I57,PremRes!$D$8:$D$208,V$12))</f>
        <v>0</v>
      </c>
      <c r="X57" s="101">
        <f t="shared" si="5"/>
        <v>0</v>
      </c>
      <c r="Y57" s="101">
        <f t="shared" si="3"/>
        <v>0</v>
      </c>
      <c r="Z57" s="101">
        <f t="shared" si="4"/>
        <v>0</v>
      </c>
    </row>
    <row r="58" spans="6:26">
      <c r="F58" s="4">
        <v>45</v>
      </c>
      <c r="G58" s="4">
        <v>2</v>
      </c>
      <c r="H58" s="4" t="str">
        <v>gauteng</v>
      </c>
      <c r="I58" s="4" t="str">
        <v>company_g</v>
      </c>
      <c r="K58" s="13">
        <v>45</v>
      </c>
      <c r="L58" s="13">
        <v>1028242.1922364383</v>
      </c>
      <c r="M58" s="13">
        <v>317947.62836351868</v>
      </c>
      <c r="N58" s="13">
        <v>1217630.761939164</v>
      </c>
      <c r="O58" s="10"/>
      <c r="P58" s="13">
        <f t="shared" si="0"/>
        <v>0</v>
      </c>
      <c r="Q58" s="13">
        <f t="shared" si="6"/>
        <v>0</v>
      </c>
      <c r="R58" s="13">
        <f t="shared" si="2"/>
        <v>0</v>
      </c>
      <c r="S58" s="11"/>
      <c r="T58" s="13" cm="1">
        <f t="array" ref="T58">_xlfn.IFS($G58="__overall__",
SUMIFS(PremRes!$G$8:$G$208,PremRes!$B$8:$B$208,$G58,PremRes!$C$8:$C$208,$H58,PremRes!$F$8:$F$208,$I58,PremRes!$D$8:$D$208,T$12),
TRUE,
SUMIFS(PremRes!$G$8:$G$208,PremRes!$B$8:$B$208,"level_"&amp;$G58,PremRes!$C$8:$C$208,$H58,PremRes!$F$8:$F$208,$I58,PremRes!$D$8:$D$208,T$12))</f>
        <v>0</v>
      </c>
      <c r="U58" s="13" cm="1">
        <f t="array" ref="U58">_xlfn.IFS($G58="__overall__",
SUMIFS(PremRes!$G$8:$G$208,PremRes!$B$8:$B$208,$G58,PremRes!$C$8:$C$208,$H58,PremRes!$F$8:$F$208,$I58,PremRes!$D$8:$D$208,U$12),
TRUE,
SUMIFS(PremRes!$G$8:$G$208,PremRes!$B$8:$B$208,"level_"&amp;$G58,PremRes!$C$8:$C$208,$H58,PremRes!$F$8:$F$208,$I58,PremRes!$D$8:$D$208,U$12))</f>
        <v>0</v>
      </c>
      <c r="V58" s="13" cm="1">
        <f t="array" ref="V58">_xlfn.IFS($G58="__overall__",
SUMIFS(PremRes!$G$8:$G$208,PremRes!$B$8:$B$208,$G58,PremRes!$C$8:$C$208,$H58,PremRes!$F$8:$F$208,$I58,PremRes!$D$8:$D$208,V$12),
TRUE,
SUMIFS(PremRes!$G$8:$G$208,PremRes!$B$8:$B$208,"level_"&amp;$G58,PremRes!$C$8:$C$208,$H58,PremRes!$F$8:$F$208,$I58,PremRes!$D$8:$D$208,V$12))</f>
        <v>0</v>
      </c>
      <c r="X58" s="101">
        <f t="shared" si="5"/>
        <v>0</v>
      </c>
      <c r="Y58" s="101">
        <f t="shared" si="3"/>
        <v>0</v>
      </c>
      <c r="Z58" s="101">
        <f t="shared" si="4"/>
        <v>0</v>
      </c>
    </row>
    <row r="59" spans="6:26">
      <c r="F59" s="4">
        <v>46</v>
      </c>
      <c r="G59" s="4">
        <v>2</v>
      </c>
      <c r="H59" s="4" t="str">
        <v>kzn</v>
      </c>
      <c r="I59" s="4" t="str">
        <v>gross charge</v>
      </c>
      <c r="K59" s="13">
        <v>46</v>
      </c>
      <c r="L59" s="13">
        <v>1040083.3640095785</v>
      </c>
      <c r="M59" s="13">
        <v>301841.24378533068</v>
      </c>
      <c r="N59" s="13">
        <v>1219334.4418685799</v>
      </c>
      <c r="O59" s="10"/>
      <c r="P59" s="13">
        <f t="shared" si="0"/>
        <v>1040083.3640095785</v>
      </c>
      <c r="Q59" s="13">
        <f t="shared" si="6"/>
        <v>301841.24378533068</v>
      </c>
      <c r="R59" s="13">
        <f t="shared" si="2"/>
        <v>1219334.4418685799</v>
      </c>
      <c r="S59" s="11"/>
      <c r="T59" s="13" cm="1">
        <f t="array" ref="T59">_xlfn.IFS($G59="__overall__",
SUMIFS(PremRes!$G$8:$G$208,PremRes!$B$8:$B$208,$G59,PremRes!$C$8:$C$208,$H59,PremRes!$F$8:$F$208,$I59,PremRes!$D$8:$D$208,T$12),
TRUE,
SUMIFS(PremRes!$G$8:$G$208,PremRes!$B$8:$B$208,"level_"&amp;$G59,PremRes!$C$8:$C$208,$H59,PremRes!$F$8:$F$208,$I59,PremRes!$D$8:$D$208,T$12))</f>
        <v>1040083.3640095785</v>
      </c>
      <c r="U59" s="13" cm="1">
        <f t="array" ref="U59">_xlfn.IFS($G59="__overall__",
SUMIFS(PremRes!$G$8:$G$208,PremRes!$B$8:$B$208,$G59,PremRes!$C$8:$C$208,$H59,PremRes!$F$8:$F$208,$I59,PremRes!$D$8:$D$208,U$12),
TRUE,
SUMIFS(PremRes!$G$8:$G$208,PremRes!$B$8:$B$208,"level_"&amp;$G59,PremRes!$C$8:$C$208,$H59,PremRes!$F$8:$F$208,$I59,PremRes!$D$8:$D$208,U$12))</f>
        <v>301841.24378533068</v>
      </c>
      <c r="V59" s="13" cm="1">
        <f t="array" ref="V59">_xlfn.IFS($G59="__overall__",
SUMIFS(PremRes!$G$8:$G$208,PremRes!$B$8:$B$208,$G59,PremRes!$C$8:$C$208,$H59,PremRes!$F$8:$F$208,$I59,PremRes!$D$8:$D$208,V$12),
TRUE,
SUMIFS(PremRes!$G$8:$G$208,PremRes!$B$8:$B$208,"level_"&amp;$G59,PremRes!$C$8:$C$208,$H59,PremRes!$F$8:$F$208,$I59,PremRes!$D$8:$D$208,V$12))</f>
        <v>1219334.4418685799</v>
      </c>
      <c r="X59" s="101">
        <f t="shared" si="5"/>
        <v>0</v>
      </c>
      <c r="Y59" s="101">
        <f t="shared" si="3"/>
        <v>0</v>
      </c>
      <c r="Z59" s="101">
        <f t="shared" si="4"/>
        <v>0</v>
      </c>
    </row>
    <row r="60" spans="6:26">
      <c r="F60" s="4">
        <v>47</v>
      </c>
      <c r="G60" s="4">
        <v>2</v>
      </c>
      <c r="H60" s="4" t="str">
        <v>kzn</v>
      </c>
      <c r="I60" s="4" t="str">
        <v>net charge</v>
      </c>
      <c r="K60" s="13">
        <v>47</v>
      </c>
      <c r="L60" s="13">
        <v>1039973.578495075</v>
      </c>
      <c r="M60" s="13">
        <v>301841.24378533068</v>
      </c>
      <c r="N60" s="13">
        <v>1219227.059142811</v>
      </c>
      <c r="O60" s="10"/>
      <c r="P60" s="13">
        <f t="shared" si="0"/>
        <v>1039973.578495075</v>
      </c>
      <c r="Q60" s="13">
        <f t="shared" si="6"/>
        <v>301841.24378533068</v>
      </c>
      <c r="R60" s="13">
        <f t="shared" si="2"/>
        <v>1219227.059142811</v>
      </c>
      <c r="S60" s="11"/>
      <c r="T60" s="13" cm="1">
        <f t="array" ref="T60">_xlfn.IFS($G60="__overall__",
SUMIFS(PremRes!$G$8:$G$208,PremRes!$B$8:$B$208,$G60,PremRes!$C$8:$C$208,$H60,PremRes!$F$8:$F$208,$I60,PremRes!$D$8:$D$208,T$12),
TRUE,
SUMIFS(PremRes!$G$8:$G$208,PremRes!$B$8:$B$208,"level_"&amp;$G60,PremRes!$C$8:$C$208,$H60,PremRes!$F$8:$F$208,$I60,PremRes!$D$8:$D$208,T$12))</f>
        <v>1039973.578495075</v>
      </c>
      <c r="U60" s="13" cm="1">
        <f t="array" ref="U60">_xlfn.IFS($G60="__overall__",
SUMIFS(PremRes!$G$8:$G$208,PremRes!$B$8:$B$208,$G60,PremRes!$C$8:$C$208,$H60,PremRes!$F$8:$F$208,$I60,PremRes!$D$8:$D$208,U$12),
TRUE,
SUMIFS(PremRes!$G$8:$G$208,PremRes!$B$8:$B$208,"level_"&amp;$G60,PremRes!$C$8:$C$208,$H60,PremRes!$F$8:$F$208,$I60,PremRes!$D$8:$D$208,U$12))</f>
        <v>301841.24378533068</v>
      </c>
      <c r="V60" s="13" cm="1">
        <f t="array" ref="V60">_xlfn.IFS($G60="__overall__",
SUMIFS(PremRes!$G$8:$G$208,PremRes!$B$8:$B$208,$G60,PremRes!$C$8:$C$208,$H60,PremRes!$F$8:$F$208,$I60,PremRes!$D$8:$D$208,V$12),
TRUE,
SUMIFS(PremRes!$G$8:$G$208,PremRes!$B$8:$B$208,"level_"&amp;$G60,PremRes!$C$8:$C$208,$H60,PremRes!$F$8:$F$208,$I60,PremRes!$D$8:$D$208,V$12))</f>
        <v>1219227.059142811</v>
      </c>
      <c r="X60" s="101">
        <f t="shared" si="5"/>
        <v>0</v>
      </c>
      <c r="Y60" s="101">
        <f t="shared" si="3"/>
        <v>0</v>
      </c>
      <c r="Z60" s="101">
        <f t="shared" si="4"/>
        <v>0</v>
      </c>
    </row>
    <row r="61" spans="6:26">
      <c r="F61" s="4">
        <v>48</v>
      </c>
      <c r="G61" s="4">
        <v>2</v>
      </c>
      <c r="H61" s="4" t="str">
        <v>kzn</v>
      </c>
      <c r="I61" s="4" t="str">
        <v>calculated net charge</v>
      </c>
      <c r="K61" s="13">
        <v>48</v>
      </c>
      <c r="L61" s="13">
        <v>1040083.3640095785</v>
      </c>
      <c r="M61" s="13">
        <v>301841.24378533068</v>
      </c>
      <c r="N61" s="13">
        <v>1219334.4418685799</v>
      </c>
      <c r="O61" s="10"/>
      <c r="P61" s="13">
        <f t="shared" si="0"/>
        <v>1040083.3640095785</v>
      </c>
      <c r="Q61" s="13">
        <f t="shared" si="6"/>
        <v>301841.24378533068</v>
      </c>
      <c r="R61" s="13">
        <f t="shared" si="2"/>
        <v>1219334.4418685799</v>
      </c>
      <c r="S61" s="11"/>
      <c r="T61" s="13" cm="1">
        <f t="array" ref="T61">_xlfn.IFS($G61="__overall__",
SUMIFS(PremRes!$G$8:$G$208,PremRes!$B$8:$B$208,$G61,PremRes!$C$8:$C$208,$H61,PremRes!$F$8:$F$208,$I61,PremRes!$D$8:$D$208,T$12),
TRUE,
SUMIFS(PremRes!$G$8:$G$208,PremRes!$B$8:$B$208,"level_"&amp;$G61,PremRes!$C$8:$C$208,$H61,PremRes!$F$8:$F$208,$I61,PremRes!$D$8:$D$208,T$12))</f>
        <v>1040083.3640095785</v>
      </c>
      <c r="U61" s="13" cm="1">
        <f t="array" ref="U61">_xlfn.IFS($G61="__overall__",
SUMIFS(PremRes!$G$8:$G$208,PremRes!$B$8:$B$208,$G61,PremRes!$C$8:$C$208,$H61,PremRes!$F$8:$F$208,$I61,PremRes!$D$8:$D$208,U$12),
TRUE,
SUMIFS(PremRes!$G$8:$G$208,PremRes!$B$8:$B$208,"level_"&amp;$G61,PremRes!$C$8:$C$208,$H61,PremRes!$F$8:$F$208,$I61,PremRes!$D$8:$D$208,U$12))</f>
        <v>301841.24378533068</v>
      </c>
      <c r="V61" s="13" cm="1">
        <f t="array" ref="V61">_xlfn.IFS($G61="__overall__",
SUMIFS(PremRes!$G$8:$G$208,PremRes!$B$8:$B$208,$G61,PremRes!$C$8:$C$208,$H61,PremRes!$F$8:$F$208,$I61,PremRes!$D$8:$D$208,V$12),
TRUE,
SUMIFS(PremRes!$G$8:$G$208,PremRes!$B$8:$B$208,"level_"&amp;$G61,PremRes!$C$8:$C$208,$H61,PremRes!$F$8:$F$208,$I61,PremRes!$D$8:$D$208,V$12))</f>
        <v>1219334.4418685799</v>
      </c>
      <c r="X61" s="101">
        <f t="shared" si="5"/>
        <v>0</v>
      </c>
      <c r="Y61" s="101">
        <f t="shared" si="3"/>
        <v>0</v>
      </c>
      <c r="Z61" s="101">
        <f t="shared" si="4"/>
        <v>0</v>
      </c>
    </row>
    <row r="62" spans="6:26">
      <c r="F62" s="4">
        <v>49</v>
      </c>
      <c r="G62" s="4">
        <v>2</v>
      </c>
      <c r="H62" s="4" t="str">
        <v>kzn</v>
      </c>
      <c r="I62" s="4" t="str">
        <v>company_a</v>
      </c>
      <c r="K62" s="13">
        <v>49</v>
      </c>
      <c r="L62" s="13">
        <v>1040083.3640095785</v>
      </c>
      <c r="M62" s="13">
        <v>301841.24378533068</v>
      </c>
      <c r="N62" s="13">
        <v>1219334.4418685799</v>
      </c>
      <c r="O62" s="10"/>
      <c r="P62" s="13">
        <f t="shared" si="0"/>
        <v>0</v>
      </c>
      <c r="Q62" s="13">
        <f t="shared" si="6"/>
        <v>0</v>
      </c>
      <c r="R62" s="13">
        <f t="shared" si="2"/>
        <v>0</v>
      </c>
      <c r="S62" s="11"/>
      <c r="T62" s="13" cm="1">
        <f t="array" ref="T62">_xlfn.IFS($G62="__overall__",
SUMIFS(PremRes!$G$8:$G$208,PremRes!$B$8:$B$208,$G62,PremRes!$C$8:$C$208,$H62,PremRes!$F$8:$F$208,$I62,PremRes!$D$8:$D$208,T$12),
TRUE,
SUMIFS(PremRes!$G$8:$G$208,PremRes!$B$8:$B$208,"level_"&amp;$G62,PremRes!$C$8:$C$208,$H62,PremRes!$F$8:$F$208,$I62,PremRes!$D$8:$D$208,T$12))</f>
        <v>0</v>
      </c>
      <c r="U62" s="13" cm="1">
        <f t="array" ref="U62">_xlfn.IFS($G62="__overall__",
SUMIFS(PremRes!$G$8:$G$208,PremRes!$B$8:$B$208,$G62,PremRes!$C$8:$C$208,$H62,PremRes!$F$8:$F$208,$I62,PremRes!$D$8:$D$208,U$12),
TRUE,
SUMIFS(PremRes!$G$8:$G$208,PremRes!$B$8:$B$208,"level_"&amp;$G62,PremRes!$C$8:$C$208,$H62,PremRes!$F$8:$F$208,$I62,PremRes!$D$8:$D$208,U$12))</f>
        <v>0</v>
      </c>
      <c r="V62" s="13" cm="1">
        <f t="array" ref="V62">_xlfn.IFS($G62="__overall__",
SUMIFS(PremRes!$G$8:$G$208,PremRes!$B$8:$B$208,$G62,PremRes!$C$8:$C$208,$H62,PremRes!$F$8:$F$208,$I62,PremRes!$D$8:$D$208,V$12),
TRUE,
SUMIFS(PremRes!$G$8:$G$208,PremRes!$B$8:$B$208,"level_"&amp;$G62,PremRes!$C$8:$C$208,$H62,PremRes!$F$8:$F$208,$I62,PremRes!$D$8:$D$208,V$12))</f>
        <v>0</v>
      </c>
      <c r="X62" s="101">
        <f t="shared" si="5"/>
        <v>0</v>
      </c>
      <c r="Y62" s="101">
        <f t="shared" si="3"/>
        <v>0</v>
      </c>
      <c r="Z62" s="101">
        <f t="shared" si="4"/>
        <v>0</v>
      </c>
    </row>
    <row r="63" spans="6:26">
      <c r="F63" s="4">
        <v>50</v>
      </c>
      <c r="G63" s="4">
        <v>2</v>
      </c>
      <c r="H63" s="4" t="str">
        <v>kzn</v>
      </c>
      <c r="I63" s="4" t="str">
        <v>company_b</v>
      </c>
      <c r="K63" s="13">
        <v>50</v>
      </c>
      <c r="L63" s="13">
        <v>1040083.3640095785</v>
      </c>
      <c r="M63" s="13">
        <v>301841.24378533068</v>
      </c>
      <c r="N63" s="13">
        <v>1219334.4418685799</v>
      </c>
      <c r="O63" s="10"/>
      <c r="P63" s="13">
        <f t="shared" si="0"/>
        <v>0</v>
      </c>
      <c r="Q63" s="13">
        <f t="shared" si="6"/>
        <v>0</v>
      </c>
      <c r="R63" s="13">
        <f t="shared" si="2"/>
        <v>0</v>
      </c>
      <c r="S63" s="11"/>
      <c r="T63" s="13" cm="1">
        <f t="array" ref="T63">_xlfn.IFS($G63="__overall__",
SUMIFS(PremRes!$G$8:$G$208,PremRes!$B$8:$B$208,$G63,PremRes!$C$8:$C$208,$H63,PremRes!$F$8:$F$208,$I63,PremRes!$D$8:$D$208,T$12),
TRUE,
SUMIFS(PremRes!$G$8:$G$208,PremRes!$B$8:$B$208,"level_"&amp;$G63,PremRes!$C$8:$C$208,$H63,PremRes!$F$8:$F$208,$I63,PremRes!$D$8:$D$208,T$12))</f>
        <v>0</v>
      </c>
      <c r="U63" s="13" cm="1">
        <f t="array" ref="U63">_xlfn.IFS($G63="__overall__",
SUMIFS(PremRes!$G$8:$G$208,PremRes!$B$8:$B$208,$G63,PremRes!$C$8:$C$208,$H63,PremRes!$F$8:$F$208,$I63,PremRes!$D$8:$D$208,U$12),
TRUE,
SUMIFS(PremRes!$G$8:$G$208,PremRes!$B$8:$B$208,"level_"&amp;$G63,PremRes!$C$8:$C$208,$H63,PremRes!$F$8:$F$208,$I63,PremRes!$D$8:$D$208,U$12))</f>
        <v>0</v>
      </c>
      <c r="V63" s="13" cm="1">
        <f t="array" ref="V63">_xlfn.IFS($G63="__overall__",
SUMIFS(PremRes!$G$8:$G$208,PremRes!$B$8:$B$208,$G63,PremRes!$C$8:$C$208,$H63,PremRes!$F$8:$F$208,$I63,PremRes!$D$8:$D$208,V$12),
TRUE,
SUMIFS(PremRes!$G$8:$G$208,PremRes!$B$8:$B$208,"level_"&amp;$G63,PremRes!$C$8:$C$208,$H63,PremRes!$F$8:$F$208,$I63,PremRes!$D$8:$D$208,V$12))</f>
        <v>0</v>
      </c>
      <c r="X63" s="101">
        <f t="shared" si="5"/>
        <v>0</v>
      </c>
      <c r="Y63" s="101">
        <f t="shared" si="3"/>
        <v>0</v>
      </c>
      <c r="Z63" s="101">
        <f t="shared" si="4"/>
        <v>0</v>
      </c>
    </row>
    <row r="64" spans="6:26">
      <c r="F64" s="4">
        <v>51</v>
      </c>
      <c r="G64" s="4">
        <v>2</v>
      </c>
      <c r="H64" s="4" t="str">
        <v>kzn</v>
      </c>
      <c r="I64" s="4" t="str">
        <v>company_c</v>
      </c>
      <c r="K64" s="13">
        <v>51</v>
      </c>
      <c r="L64" s="13">
        <v>1040083.3640095785</v>
      </c>
      <c r="M64" s="13">
        <v>301841.24378533068</v>
      </c>
      <c r="N64" s="13">
        <v>1219334.4418685799</v>
      </c>
      <c r="O64" s="10"/>
      <c r="P64" s="13">
        <f t="shared" si="0"/>
        <v>0</v>
      </c>
      <c r="Q64" s="13">
        <f t="shared" si="6"/>
        <v>0</v>
      </c>
      <c r="R64" s="13">
        <f t="shared" si="2"/>
        <v>0</v>
      </c>
      <c r="S64" s="11"/>
      <c r="T64" s="13" cm="1">
        <f t="array" ref="T64">_xlfn.IFS($G64="__overall__",
SUMIFS(PremRes!$G$8:$G$208,PremRes!$B$8:$B$208,$G64,PremRes!$C$8:$C$208,$H64,PremRes!$F$8:$F$208,$I64,PremRes!$D$8:$D$208,T$12),
TRUE,
SUMIFS(PremRes!$G$8:$G$208,PremRes!$B$8:$B$208,"level_"&amp;$G64,PremRes!$C$8:$C$208,$H64,PremRes!$F$8:$F$208,$I64,PremRes!$D$8:$D$208,T$12))</f>
        <v>0</v>
      </c>
      <c r="U64" s="13" cm="1">
        <f t="array" ref="U64">_xlfn.IFS($G64="__overall__",
SUMIFS(PremRes!$G$8:$G$208,PremRes!$B$8:$B$208,$G64,PremRes!$C$8:$C$208,$H64,PremRes!$F$8:$F$208,$I64,PremRes!$D$8:$D$208,U$12),
TRUE,
SUMIFS(PremRes!$G$8:$G$208,PremRes!$B$8:$B$208,"level_"&amp;$G64,PremRes!$C$8:$C$208,$H64,PremRes!$F$8:$F$208,$I64,PremRes!$D$8:$D$208,U$12))</f>
        <v>0</v>
      </c>
      <c r="V64" s="13" cm="1">
        <f t="array" ref="V64">_xlfn.IFS($G64="__overall__",
SUMIFS(PremRes!$G$8:$G$208,PremRes!$B$8:$B$208,$G64,PremRes!$C$8:$C$208,$H64,PremRes!$F$8:$F$208,$I64,PremRes!$D$8:$D$208,V$12),
TRUE,
SUMIFS(PremRes!$G$8:$G$208,PremRes!$B$8:$B$208,"level_"&amp;$G64,PremRes!$C$8:$C$208,$H64,PremRes!$F$8:$F$208,$I64,PremRes!$D$8:$D$208,V$12))</f>
        <v>0</v>
      </c>
      <c r="X64" s="101">
        <f t="shared" si="5"/>
        <v>0</v>
      </c>
      <c r="Y64" s="101">
        <f t="shared" si="3"/>
        <v>0</v>
      </c>
      <c r="Z64" s="101">
        <f t="shared" si="4"/>
        <v>0</v>
      </c>
    </row>
    <row r="65" spans="6:26">
      <c r="F65" s="4">
        <v>52</v>
      </c>
      <c r="G65" s="4">
        <v>2</v>
      </c>
      <c r="H65" s="4" t="str">
        <v>kzn</v>
      </c>
      <c r="I65" s="4" t="str">
        <v>company_d</v>
      </c>
      <c r="K65" s="13">
        <v>52</v>
      </c>
      <c r="L65" s="13">
        <v>1040083.3640095785</v>
      </c>
      <c r="M65" s="13">
        <v>301841.24378533068</v>
      </c>
      <c r="N65" s="13">
        <v>1219334.4418685799</v>
      </c>
      <c r="O65" s="10"/>
      <c r="P65" s="13">
        <f t="shared" si="0"/>
        <v>0</v>
      </c>
      <c r="Q65" s="13">
        <f t="shared" si="6"/>
        <v>0</v>
      </c>
      <c r="R65" s="13">
        <f t="shared" si="2"/>
        <v>0</v>
      </c>
      <c r="S65" s="11"/>
      <c r="T65" s="13" cm="1">
        <f t="array" ref="T65">_xlfn.IFS($G65="__overall__",
SUMIFS(PremRes!$G$8:$G$208,PremRes!$B$8:$B$208,$G65,PremRes!$C$8:$C$208,$H65,PremRes!$F$8:$F$208,$I65,PremRes!$D$8:$D$208,T$12),
TRUE,
SUMIFS(PremRes!$G$8:$G$208,PremRes!$B$8:$B$208,"level_"&amp;$G65,PremRes!$C$8:$C$208,$H65,PremRes!$F$8:$F$208,$I65,PremRes!$D$8:$D$208,T$12))</f>
        <v>0</v>
      </c>
      <c r="U65" s="13" cm="1">
        <f t="array" ref="U65">_xlfn.IFS($G65="__overall__",
SUMIFS(PremRes!$G$8:$G$208,PremRes!$B$8:$B$208,$G65,PremRes!$C$8:$C$208,$H65,PremRes!$F$8:$F$208,$I65,PremRes!$D$8:$D$208,U$12),
TRUE,
SUMIFS(PremRes!$G$8:$G$208,PremRes!$B$8:$B$208,"level_"&amp;$G65,PremRes!$C$8:$C$208,$H65,PremRes!$F$8:$F$208,$I65,PremRes!$D$8:$D$208,U$12))</f>
        <v>0</v>
      </c>
      <c r="V65" s="13" cm="1">
        <f t="array" ref="V65">_xlfn.IFS($G65="__overall__",
SUMIFS(PremRes!$G$8:$G$208,PremRes!$B$8:$B$208,$G65,PremRes!$C$8:$C$208,$H65,PremRes!$F$8:$F$208,$I65,PremRes!$D$8:$D$208,V$12),
TRUE,
SUMIFS(PremRes!$G$8:$G$208,PremRes!$B$8:$B$208,"level_"&amp;$G65,PremRes!$C$8:$C$208,$H65,PremRes!$F$8:$F$208,$I65,PremRes!$D$8:$D$208,V$12))</f>
        <v>0</v>
      </c>
      <c r="X65" s="101">
        <f t="shared" si="5"/>
        <v>0</v>
      </c>
      <c r="Y65" s="101">
        <f t="shared" si="3"/>
        <v>0</v>
      </c>
      <c r="Z65" s="101">
        <f t="shared" si="4"/>
        <v>0</v>
      </c>
    </row>
    <row r="66" spans="6:26">
      <c r="F66" s="4">
        <v>53</v>
      </c>
      <c r="G66" s="4">
        <v>2</v>
      </c>
      <c r="H66" s="4" t="str">
        <v>kzn</v>
      </c>
      <c r="I66" s="4" t="str">
        <v>company_e</v>
      </c>
      <c r="K66" s="13">
        <v>53</v>
      </c>
      <c r="L66" s="13">
        <v>1040083.3640095785</v>
      </c>
      <c r="M66" s="13">
        <v>301841.24378533068</v>
      </c>
      <c r="N66" s="13">
        <v>1219334.4418685799</v>
      </c>
      <c r="O66" s="10"/>
      <c r="P66" s="13">
        <f t="shared" si="0"/>
        <v>0</v>
      </c>
      <c r="Q66" s="13">
        <f t="shared" si="6"/>
        <v>0</v>
      </c>
      <c r="R66" s="13">
        <f t="shared" si="2"/>
        <v>0</v>
      </c>
      <c r="S66" s="11"/>
      <c r="T66" s="13" cm="1">
        <f t="array" ref="T66">_xlfn.IFS($G66="__overall__",
SUMIFS(PremRes!$G$8:$G$208,PremRes!$B$8:$B$208,$G66,PremRes!$C$8:$C$208,$H66,PremRes!$F$8:$F$208,$I66,PremRes!$D$8:$D$208,T$12),
TRUE,
SUMIFS(PremRes!$G$8:$G$208,PremRes!$B$8:$B$208,"level_"&amp;$G66,PremRes!$C$8:$C$208,$H66,PremRes!$F$8:$F$208,$I66,PremRes!$D$8:$D$208,T$12))</f>
        <v>0</v>
      </c>
      <c r="U66" s="13" cm="1">
        <f t="array" ref="U66">_xlfn.IFS($G66="__overall__",
SUMIFS(PremRes!$G$8:$G$208,PremRes!$B$8:$B$208,$G66,PremRes!$C$8:$C$208,$H66,PremRes!$F$8:$F$208,$I66,PremRes!$D$8:$D$208,U$12),
TRUE,
SUMIFS(PremRes!$G$8:$G$208,PremRes!$B$8:$B$208,"level_"&amp;$G66,PremRes!$C$8:$C$208,$H66,PremRes!$F$8:$F$208,$I66,PremRes!$D$8:$D$208,U$12))</f>
        <v>0</v>
      </c>
      <c r="V66" s="13" cm="1">
        <f t="array" ref="V66">_xlfn.IFS($G66="__overall__",
SUMIFS(PremRes!$G$8:$G$208,PremRes!$B$8:$B$208,$G66,PremRes!$C$8:$C$208,$H66,PremRes!$F$8:$F$208,$I66,PremRes!$D$8:$D$208,V$12),
TRUE,
SUMIFS(PremRes!$G$8:$G$208,PremRes!$B$8:$B$208,"level_"&amp;$G66,PremRes!$C$8:$C$208,$H66,PremRes!$F$8:$F$208,$I66,PremRes!$D$8:$D$208,V$12))</f>
        <v>0</v>
      </c>
      <c r="X66" s="101">
        <f t="shared" si="5"/>
        <v>0</v>
      </c>
      <c r="Y66" s="101">
        <f t="shared" si="3"/>
        <v>0</v>
      </c>
      <c r="Z66" s="101">
        <f t="shared" si="4"/>
        <v>0</v>
      </c>
    </row>
    <row r="67" spans="6:26">
      <c r="F67" s="4">
        <v>54</v>
      </c>
      <c r="G67" s="4">
        <v>2</v>
      </c>
      <c r="H67" s="4" t="str">
        <v>kzn</v>
      </c>
      <c r="I67" s="4" t="str">
        <v>company_g</v>
      </c>
      <c r="K67" s="13">
        <v>54</v>
      </c>
      <c r="L67" s="13">
        <v>1040083.3640095785</v>
      </c>
      <c r="M67" s="13">
        <v>301841.24378533068</v>
      </c>
      <c r="N67" s="13">
        <v>1219334.4418685799</v>
      </c>
      <c r="O67" s="10"/>
      <c r="P67" s="13">
        <f t="shared" si="0"/>
        <v>0</v>
      </c>
      <c r="Q67" s="13">
        <f t="shared" si="6"/>
        <v>0</v>
      </c>
      <c r="R67" s="13">
        <f t="shared" si="2"/>
        <v>0</v>
      </c>
      <c r="S67" s="11"/>
      <c r="T67" s="13" cm="1">
        <f t="array" ref="T67">_xlfn.IFS($G67="__overall__",
SUMIFS(PremRes!$G$8:$G$208,PremRes!$B$8:$B$208,$G67,PremRes!$C$8:$C$208,$H67,PremRes!$F$8:$F$208,$I67,PremRes!$D$8:$D$208,T$12),
TRUE,
SUMIFS(PremRes!$G$8:$G$208,PremRes!$B$8:$B$208,"level_"&amp;$G67,PremRes!$C$8:$C$208,$H67,PremRes!$F$8:$F$208,$I67,PremRes!$D$8:$D$208,T$12))</f>
        <v>0</v>
      </c>
      <c r="U67" s="13" cm="1">
        <f t="array" ref="U67">_xlfn.IFS($G67="__overall__",
SUMIFS(PremRes!$G$8:$G$208,PremRes!$B$8:$B$208,$G67,PremRes!$C$8:$C$208,$H67,PremRes!$F$8:$F$208,$I67,PremRes!$D$8:$D$208,U$12),
TRUE,
SUMIFS(PremRes!$G$8:$G$208,PremRes!$B$8:$B$208,"level_"&amp;$G67,PremRes!$C$8:$C$208,$H67,PremRes!$F$8:$F$208,$I67,PremRes!$D$8:$D$208,U$12))</f>
        <v>0</v>
      </c>
      <c r="V67" s="13" cm="1">
        <f t="array" ref="V67">_xlfn.IFS($G67="__overall__",
SUMIFS(PremRes!$G$8:$G$208,PremRes!$B$8:$B$208,$G67,PremRes!$C$8:$C$208,$H67,PremRes!$F$8:$F$208,$I67,PremRes!$D$8:$D$208,V$12),
TRUE,
SUMIFS(PremRes!$G$8:$G$208,PremRes!$B$8:$B$208,"level_"&amp;$G67,PremRes!$C$8:$C$208,$H67,PremRes!$F$8:$F$208,$I67,PremRes!$D$8:$D$208,V$12))</f>
        <v>0</v>
      </c>
      <c r="X67" s="101">
        <f t="shared" si="5"/>
        <v>0</v>
      </c>
      <c r="Y67" s="101">
        <f t="shared" si="3"/>
        <v>0</v>
      </c>
      <c r="Z67" s="101">
        <f t="shared" si="4"/>
        <v>0</v>
      </c>
    </row>
    <row r="68" spans="6:26">
      <c r="F68" s="4">
        <v>55</v>
      </c>
      <c r="G68" s="4">
        <v>2</v>
      </c>
      <c r="H68" s="4" t="str">
        <v>western cape</v>
      </c>
      <c r="I68" s="4" t="str">
        <v>gross charge</v>
      </c>
      <c r="K68" s="13">
        <v>55</v>
      </c>
      <c r="L68" s="13">
        <v>3271027.3497874369</v>
      </c>
      <c r="M68" s="13">
        <v>1909247.3911721392</v>
      </c>
      <c r="N68" s="13">
        <v>4546466.8656967869</v>
      </c>
      <c r="O68" s="10"/>
      <c r="P68" s="13">
        <f t="shared" si="0"/>
        <v>3271027.3497874369</v>
      </c>
      <c r="Q68" s="13">
        <f t="shared" si="6"/>
        <v>1909247.3911721392</v>
      </c>
      <c r="R68" s="13">
        <f t="shared" si="2"/>
        <v>4546466.8656967869</v>
      </c>
      <c r="S68" s="11"/>
      <c r="T68" s="13" cm="1">
        <f t="array" ref="T68">_xlfn.IFS($G68="__overall__",
SUMIFS(PremRes!$G$8:$G$208,PremRes!$B$8:$B$208,$G68,PremRes!$C$8:$C$208,$H68,PremRes!$F$8:$F$208,$I68,PremRes!$D$8:$D$208,T$12),
TRUE,
SUMIFS(PremRes!$G$8:$G$208,PremRes!$B$8:$B$208,"level_"&amp;$G68,PremRes!$C$8:$C$208,$H68,PremRes!$F$8:$F$208,$I68,PremRes!$D$8:$D$208,T$12))</f>
        <v>3271027.3497874369</v>
      </c>
      <c r="U68" s="13" cm="1">
        <f t="array" ref="U68">_xlfn.IFS($G68="__overall__",
SUMIFS(PremRes!$G$8:$G$208,PremRes!$B$8:$B$208,$G68,PremRes!$C$8:$C$208,$H68,PremRes!$F$8:$F$208,$I68,PremRes!$D$8:$D$208,U$12),
TRUE,
SUMIFS(PremRes!$G$8:$G$208,PremRes!$B$8:$B$208,"level_"&amp;$G68,PremRes!$C$8:$C$208,$H68,PremRes!$F$8:$F$208,$I68,PremRes!$D$8:$D$208,U$12))</f>
        <v>1909247.3911721392</v>
      </c>
      <c r="V68" s="13" cm="1">
        <f t="array" ref="V68">_xlfn.IFS($G68="__overall__",
SUMIFS(PremRes!$G$8:$G$208,PremRes!$B$8:$B$208,$G68,PremRes!$C$8:$C$208,$H68,PremRes!$F$8:$F$208,$I68,PremRes!$D$8:$D$208,V$12),
TRUE,
SUMIFS(PremRes!$G$8:$G$208,PremRes!$B$8:$B$208,"level_"&amp;$G68,PremRes!$C$8:$C$208,$H68,PremRes!$F$8:$F$208,$I68,PremRes!$D$8:$D$208,V$12))</f>
        <v>4546466.8656967869</v>
      </c>
      <c r="X68" s="101">
        <f t="shared" si="5"/>
        <v>0</v>
      </c>
      <c r="Y68" s="101">
        <f t="shared" si="3"/>
        <v>0</v>
      </c>
      <c r="Z68" s="101">
        <f t="shared" si="4"/>
        <v>0</v>
      </c>
    </row>
    <row r="69" spans="6:26">
      <c r="F69" s="4">
        <v>56</v>
      </c>
      <c r="G69" s="4">
        <v>2</v>
      </c>
      <c r="H69" s="4" t="str">
        <v>western cape</v>
      </c>
      <c r="I69" s="4" t="str">
        <v>net charge</v>
      </c>
      <c r="K69" s="13">
        <v>56</v>
      </c>
      <c r="L69" s="13">
        <v>3035224.0257098069</v>
      </c>
      <c r="M69" s="13">
        <v>1290354.8199552612</v>
      </c>
      <c r="N69" s="13">
        <v>3843296.4565112693</v>
      </c>
      <c r="O69" s="10"/>
      <c r="P69" s="13">
        <f t="shared" si="0"/>
        <v>3035224.0257098069</v>
      </c>
      <c r="Q69" s="13">
        <f t="shared" si="6"/>
        <v>1290354.8199552612</v>
      </c>
      <c r="R69" s="13">
        <f t="shared" si="2"/>
        <v>3843296.4565112693</v>
      </c>
      <c r="S69" s="11"/>
      <c r="T69" s="13" cm="1">
        <f t="array" ref="T69">_xlfn.IFS($G69="__overall__",
SUMIFS(PremRes!$G$8:$G$208,PremRes!$B$8:$B$208,$G69,PremRes!$C$8:$C$208,$H69,PremRes!$F$8:$F$208,$I69,PremRes!$D$8:$D$208,T$12),
TRUE,
SUMIFS(PremRes!$G$8:$G$208,PremRes!$B$8:$B$208,"level_"&amp;$G69,PremRes!$C$8:$C$208,$H69,PremRes!$F$8:$F$208,$I69,PremRes!$D$8:$D$208,T$12))</f>
        <v>3035224.0257098069</v>
      </c>
      <c r="U69" s="13" cm="1">
        <f t="array" ref="U69">_xlfn.IFS($G69="__overall__",
SUMIFS(PremRes!$G$8:$G$208,PremRes!$B$8:$B$208,$G69,PremRes!$C$8:$C$208,$H69,PremRes!$F$8:$F$208,$I69,PremRes!$D$8:$D$208,U$12),
TRUE,
SUMIFS(PremRes!$G$8:$G$208,PremRes!$B$8:$B$208,"level_"&amp;$G69,PremRes!$C$8:$C$208,$H69,PremRes!$F$8:$F$208,$I69,PremRes!$D$8:$D$208,U$12))</f>
        <v>1290354.8199552614</v>
      </c>
      <c r="V69" s="13" cm="1">
        <f t="array" ref="V69">_xlfn.IFS($G69="__overall__",
SUMIFS(PremRes!$G$8:$G$208,PremRes!$B$8:$B$208,$G69,PremRes!$C$8:$C$208,$H69,PremRes!$F$8:$F$208,$I69,PremRes!$D$8:$D$208,V$12),
TRUE,
SUMIFS(PremRes!$G$8:$G$208,PremRes!$B$8:$B$208,"level_"&amp;$G69,PremRes!$C$8:$C$208,$H69,PremRes!$F$8:$F$208,$I69,PremRes!$D$8:$D$208,V$12))</f>
        <v>3843296.4565112693</v>
      </c>
      <c r="X69" s="101">
        <f t="shared" si="5"/>
        <v>0</v>
      </c>
      <c r="Y69" s="101">
        <f t="shared" si="3"/>
        <v>0</v>
      </c>
      <c r="Z69" s="101">
        <f t="shared" si="4"/>
        <v>0</v>
      </c>
    </row>
    <row r="70" spans="6:26">
      <c r="F70" s="4">
        <v>57</v>
      </c>
      <c r="G70" s="4">
        <v>2</v>
      </c>
      <c r="H70" s="4" t="str">
        <v>western cape</v>
      </c>
      <c r="I70" s="4" t="str">
        <v>calculated net charge</v>
      </c>
      <c r="K70" s="13">
        <v>57</v>
      </c>
      <c r="L70" s="13">
        <v>2649699.2330792407</v>
      </c>
      <c r="M70" s="13">
        <v>1346680.7057998674</v>
      </c>
      <c r="N70" s="13">
        <v>3535124.435705218</v>
      </c>
      <c r="O70" s="10"/>
      <c r="P70" s="13">
        <f t="shared" si="0"/>
        <v>2649699.2330792407</v>
      </c>
      <c r="Q70" s="13">
        <f t="shared" si="6"/>
        <v>1346680.7057998674</v>
      </c>
      <c r="R70" s="13">
        <f t="shared" si="2"/>
        <v>3535124.435705218</v>
      </c>
      <c r="S70" s="11"/>
      <c r="T70" s="13" cm="1">
        <f t="array" ref="T70">_xlfn.IFS($G70="__overall__",
SUMIFS(PremRes!$G$8:$G$208,PremRes!$B$8:$B$208,$G70,PremRes!$C$8:$C$208,$H70,PremRes!$F$8:$F$208,$I70,PremRes!$D$8:$D$208,T$12),
TRUE,
SUMIFS(PremRes!$G$8:$G$208,PremRes!$B$8:$B$208,"level_"&amp;$G70,PremRes!$C$8:$C$208,$H70,PremRes!$F$8:$F$208,$I70,PremRes!$D$8:$D$208,T$12))</f>
        <v>2649699.2330792407</v>
      </c>
      <c r="U70" s="13" cm="1">
        <f t="array" ref="U70">_xlfn.IFS($G70="__overall__",
SUMIFS(PremRes!$G$8:$G$208,PremRes!$B$8:$B$208,$G70,PremRes!$C$8:$C$208,$H70,PremRes!$F$8:$F$208,$I70,PremRes!$D$8:$D$208,U$12),
TRUE,
SUMIFS(PremRes!$G$8:$G$208,PremRes!$B$8:$B$208,"level_"&amp;$G70,PremRes!$C$8:$C$208,$H70,PremRes!$F$8:$F$208,$I70,PremRes!$D$8:$D$208,U$12))</f>
        <v>1346680.7057998679</v>
      </c>
      <c r="V70" s="13" cm="1">
        <f t="array" ref="V70">_xlfn.IFS($G70="__overall__",
SUMIFS(PremRes!$G$8:$G$208,PremRes!$B$8:$B$208,$G70,PremRes!$C$8:$C$208,$H70,PremRes!$F$8:$F$208,$I70,PremRes!$D$8:$D$208,V$12),
TRUE,
SUMIFS(PremRes!$G$8:$G$208,PremRes!$B$8:$B$208,"level_"&amp;$G70,PremRes!$C$8:$C$208,$H70,PremRes!$F$8:$F$208,$I70,PremRes!$D$8:$D$208,V$12))</f>
        <v>3535124.435705218</v>
      </c>
      <c r="X70" s="101">
        <f t="shared" si="5"/>
        <v>0</v>
      </c>
      <c r="Y70" s="101">
        <f t="shared" si="3"/>
        <v>0</v>
      </c>
      <c r="Z70" s="101">
        <f t="shared" si="4"/>
        <v>0</v>
      </c>
    </row>
    <row r="71" spans="6:26">
      <c r="F71" s="4">
        <v>58</v>
      </c>
      <c r="G71" s="4">
        <v>2</v>
      </c>
      <c r="H71" s="4" t="str">
        <v>western cape</v>
      </c>
      <c r="I71" s="4" t="str">
        <v>company_a</v>
      </c>
      <c r="K71" s="13">
        <v>58</v>
      </c>
      <c r="L71" s="13">
        <v>2879173.5866921782</v>
      </c>
      <c r="M71" s="13">
        <v>1614978.246242139</v>
      </c>
      <c r="N71" s="13">
        <v>3953510.7458004737</v>
      </c>
      <c r="O71" s="10"/>
      <c r="P71" s="13">
        <f t="shared" si="0"/>
        <v>229474.3536129375</v>
      </c>
      <c r="Q71" s="13">
        <f t="shared" si="6"/>
        <v>268297.54044227162</v>
      </c>
      <c r="R71" s="13">
        <f t="shared" si="2"/>
        <v>418386.31009525573</v>
      </c>
      <c r="S71" s="11"/>
      <c r="T71" s="13" cm="1">
        <f t="array" ref="T71">_xlfn.IFS($G71="__overall__",
SUMIFS(PremRes!$G$8:$G$208,PremRes!$B$8:$B$208,$G71,PremRes!$C$8:$C$208,$H71,PremRes!$F$8:$F$208,$I71,PremRes!$D$8:$D$208,T$12),
TRUE,
SUMIFS(PremRes!$G$8:$G$208,PremRes!$B$8:$B$208,"level_"&amp;$G71,PremRes!$C$8:$C$208,$H71,PremRes!$F$8:$F$208,$I71,PremRes!$D$8:$D$208,T$12))</f>
        <v>229474.35361293703</v>
      </c>
      <c r="U71" s="13" cm="1">
        <f t="array" ref="U71">_xlfn.IFS($G71="__overall__",
SUMIFS(PremRes!$G$8:$G$208,PremRes!$B$8:$B$208,$G71,PremRes!$C$8:$C$208,$H71,PremRes!$F$8:$F$208,$I71,PremRes!$D$8:$D$208,U$12),
TRUE,
SUMIFS(PremRes!$G$8:$G$208,PremRes!$B$8:$B$208,"level_"&amp;$G71,PremRes!$C$8:$C$208,$H71,PremRes!$F$8:$F$208,$I71,PremRes!$D$8:$D$208,U$12))</f>
        <v>268297.54044227116</v>
      </c>
      <c r="V71" s="13" cm="1">
        <f t="array" ref="V71">_xlfn.IFS($G71="__overall__",
SUMIFS(PremRes!$G$8:$G$208,PremRes!$B$8:$B$208,$G71,PremRes!$C$8:$C$208,$H71,PremRes!$F$8:$F$208,$I71,PremRes!$D$8:$D$208,V$12),
TRUE,
SUMIFS(PremRes!$G$8:$G$208,PremRes!$B$8:$B$208,"level_"&amp;$G71,PremRes!$C$8:$C$208,$H71,PremRes!$F$8:$F$208,$I71,PremRes!$D$8:$D$208,V$12))</f>
        <v>418386.31009525573</v>
      </c>
      <c r="X71" s="101">
        <f t="shared" si="5"/>
        <v>4.6566128730773926E-10</v>
      </c>
      <c r="Y71" s="101">
        <f t="shared" si="3"/>
        <v>4.6566128730773926E-10</v>
      </c>
      <c r="Z71" s="101">
        <f t="shared" si="4"/>
        <v>0</v>
      </c>
    </row>
    <row r="72" spans="6:26">
      <c r="F72" s="4">
        <v>59</v>
      </c>
      <c r="G72" s="4">
        <v>2</v>
      </c>
      <c r="H72" s="4" t="str">
        <v>western cape</v>
      </c>
      <c r="I72" s="4" t="str">
        <v>company_b</v>
      </c>
      <c r="K72" s="13">
        <v>59</v>
      </c>
      <c r="L72" s="13">
        <v>2902284.0249655666</v>
      </c>
      <c r="M72" s="13">
        <v>1585371.7950676274</v>
      </c>
      <c r="N72" s="13">
        <v>3952953.6610165089</v>
      </c>
      <c r="O72" s="10"/>
      <c r="P72" s="13">
        <f t="shared" si="0"/>
        <v>252584.79188632593</v>
      </c>
      <c r="Q72" s="13">
        <f t="shared" si="6"/>
        <v>238691.08926776005</v>
      </c>
      <c r="R72" s="13">
        <f t="shared" si="2"/>
        <v>417829.22531129094</v>
      </c>
      <c r="S72" s="11"/>
      <c r="T72" s="13" cm="1">
        <f t="array" ref="T72">_xlfn.IFS($G72="__overall__",
SUMIFS(PremRes!$G$8:$G$208,PremRes!$B$8:$B$208,$G72,PremRes!$C$8:$C$208,$H72,PremRes!$F$8:$F$208,$I72,PremRes!$D$8:$D$208,T$12),
TRUE,
SUMIFS(PremRes!$G$8:$G$208,PremRes!$B$8:$B$208,"level_"&amp;$G72,PremRes!$C$8:$C$208,$H72,PremRes!$F$8:$F$208,$I72,PremRes!$D$8:$D$208,T$12))</f>
        <v>252584.79188632593</v>
      </c>
      <c r="U72" s="13" cm="1">
        <f t="array" ref="U72">_xlfn.IFS($G72="__overall__",
SUMIFS(PremRes!$G$8:$G$208,PremRes!$B$8:$B$208,$G72,PremRes!$C$8:$C$208,$H72,PremRes!$F$8:$F$208,$I72,PremRes!$D$8:$D$208,U$12),
TRUE,
SUMIFS(PremRes!$G$8:$G$208,PremRes!$B$8:$B$208,"level_"&amp;$G72,PremRes!$C$8:$C$208,$H72,PremRes!$F$8:$F$208,$I72,PremRes!$D$8:$D$208,U$12))</f>
        <v>238691.08926775982</v>
      </c>
      <c r="V72" s="13" cm="1">
        <f t="array" ref="V72">_xlfn.IFS($G72="__overall__",
SUMIFS(PremRes!$G$8:$G$208,PremRes!$B$8:$B$208,$G72,PremRes!$C$8:$C$208,$H72,PremRes!$F$8:$F$208,$I72,PremRes!$D$8:$D$208,V$12),
TRUE,
SUMIFS(PremRes!$G$8:$G$208,PremRes!$B$8:$B$208,"level_"&amp;$G72,PremRes!$C$8:$C$208,$H72,PremRes!$F$8:$F$208,$I72,PremRes!$D$8:$D$208,V$12))</f>
        <v>417829.22531129094</v>
      </c>
      <c r="X72" s="101">
        <f t="shared" si="5"/>
        <v>0</v>
      </c>
      <c r="Y72" s="101">
        <f t="shared" si="3"/>
        <v>2.3283064365386963E-10</v>
      </c>
      <c r="Z72" s="101">
        <f t="shared" si="4"/>
        <v>0</v>
      </c>
    </row>
    <row r="73" spans="6:26">
      <c r="F73" s="4">
        <v>60</v>
      </c>
      <c r="G73" s="4">
        <v>2</v>
      </c>
      <c r="H73" s="4" t="str">
        <v>western cape</v>
      </c>
      <c r="I73" s="4" t="str">
        <v>company_c</v>
      </c>
      <c r="K73" s="13">
        <v>60</v>
      </c>
      <c r="L73" s="13">
        <v>2781330.491719461</v>
      </c>
      <c r="M73" s="13">
        <v>1396595.0671391343</v>
      </c>
      <c r="N73" s="13">
        <v>3697692.1376967365</v>
      </c>
      <c r="O73" s="10"/>
      <c r="P73" s="13">
        <f t="shared" si="0"/>
        <v>131631.25864022039</v>
      </c>
      <c r="Q73" s="13">
        <f t="shared" si="6"/>
        <v>49914.361339266878</v>
      </c>
      <c r="R73" s="13">
        <f t="shared" si="2"/>
        <v>162567.70199151849</v>
      </c>
      <c r="S73" s="11"/>
      <c r="T73" s="13" cm="1">
        <f t="array" ref="T73">_xlfn.IFS($G73="__overall__",
SUMIFS(PremRes!$G$8:$G$208,PremRes!$B$8:$B$208,$G73,PremRes!$C$8:$C$208,$H73,PremRes!$F$8:$F$208,$I73,PremRes!$D$8:$D$208,T$12),
TRUE,
SUMIFS(PremRes!$G$8:$G$208,PremRes!$B$8:$B$208,"level_"&amp;$G73,PremRes!$C$8:$C$208,$H73,PremRes!$F$8:$F$208,$I73,PremRes!$D$8:$D$208,T$12))</f>
        <v>131631.25864022039</v>
      </c>
      <c r="U73" s="13" cm="1">
        <f t="array" ref="U73">_xlfn.IFS($G73="__overall__",
SUMIFS(PremRes!$G$8:$G$208,PremRes!$B$8:$B$208,$G73,PremRes!$C$8:$C$208,$H73,PremRes!$F$8:$F$208,$I73,PremRes!$D$8:$D$208,U$12),
TRUE,
SUMIFS(PremRes!$G$8:$G$208,PremRes!$B$8:$B$208,"level_"&amp;$G73,PremRes!$C$8:$C$208,$H73,PremRes!$F$8:$F$208,$I73,PremRes!$D$8:$D$208,U$12))</f>
        <v>49914.361339266412</v>
      </c>
      <c r="V73" s="13" cm="1">
        <f t="array" ref="V73">_xlfn.IFS($G73="__overall__",
SUMIFS(PremRes!$G$8:$G$208,PremRes!$B$8:$B$208,$G73,PremRes!$C$8:$C$208,$H73,PremRes!$F$8:$F$208,$I73,PremRes!$D$8:$D$208,V$12),
TRUE,
SUMIFS(PremRes!$G$8:$G$208,PremRes!$B$8:$B$208,"level_"&amp;$G73,PremRes!$C$8:$C$208,$H73,PremRes!$F$8:$F$208,$I73,PremRes!$D$8:$D$208,V$12))</f>
        <v>162567.70199151943</v>
      </c>
      <c r="X73" s="101">
        <f t="shared" si="5"/>
        <v>0</v>
      </c>
      <c r="Y73" s="101">
        <f t="shared" si="3"/>
        <v>4.6566128730773926E-10</v>
      </c>
      <c r="Z73" s="101">
        <f t="shared" si="4"/>
        <v>-9.3132257461547852E-10</v>
      </c>
    </row>
    <row r="74" spans="6:26">
      <c r="F74" s="4">
        <v>61</v>
      </c>
      <c r="G74" s="4">
        <v>2</v>
      </c>
      <c r="H74" s="4" t="str">
        <v>western cape</v>
      </c>
      <c r="I74" s="4" t="str">
        <v>company_d</v>
      </c>
      <c r="K74" s="13">
        <v>61</v>
      </c>
      <c r="L74" s="13">
        <v>2649699.2330792407</v>
      </c>
      <c r="M74" s="13">
        <v>1346680.7057998674</v>
      </c>
      <c r="N74" s="13">
        <v>3535124.435705218</v>
      </c>
      <c r="O74" s="10"/>
      <c r="P74" s="13">
        <f t="shared" si="0"/>
        <v>0</v>
      </c>
      <c r="Q74" s="13">
        <f t="shared" si="6"/>
        <v>0</v>
      </c>
      <c r="R74" s="13">
        <f t="shared" si="2"/>
        <v>0</v>
      </c>
      <c r="S74" s="11"/>
      <c r="T74" s="13" cm="1">
        <f t="array" ref="T74">_xlfn.IFS($G74="__overall__",
SUMIFS(PremRes!$G$8:$G$208,PremRes!$B$8:$B$208,$G74,PremRes!$C$8:$C$208,$H74,PremRes!$F$8:$F$208,$I74,PremRes!$D$8:$D$208,T$12),
TRUE,
SUMIFS(PremRes!$G$8:$G$208,PremRes!$B$8:$B$208,"level_"&amp;$G74,PremRes!$C$8:$C$208,$H74,PremRes!$F$8:$F$208,$I74,PremRes!$D$8:$D$208,T$12))</f>
        <v>0</v>
      </c>
      <c r="U74" s="13" cm="1">
        <f t="array" ref="U74">_xlfn.IFS($G74="__overall__",
SUMIFS(PremRes!$G$8:$G$208,PremRes!$B$8:$B$208,$G74,PremRes!$C$8:$C$208,$H74,PremRes!$F$8:$F$208,$I74,PremRes!$D$8:$D$208,U$12),
TRUE,
SUMIFS(PremRes!$G$8:$G$208,PremRes!$B$8:$B$208,"level_"&amp;$G74,PremRes!$C$8:$C$208,$H74,PremRes!$F$8:$F$208,$I74,PremRes!$D$8:$D$208,U$12))</f>
        <v>0</v>
      </c>
      <c r="V74" s="13" cm="1">
        <f t="array" ref="V74">_xlfn.IFS($G74="__overall__",
SUMIFS(PremRes!$G$8:$G$208,PremRes!$B$8:$B$208,$G74,PremRes!$C$8:$C$208,$H74,PremRes!$F$8:$F$208,$I74,PremRes!$D$8:$D$208,V$12),
TRUE,
SUMIFS(PremRes!$G$8:$G$208,PremRes!$B$8:$B$208,"level_"&amp;$G74,PremRes!$C$8:$C$208,$H74,PremRes!$F$8:$F$208,$I74,PremRes!$D$8:$D$208,V$12))</f>
        <v>0</v>
      </c>
      <c r="X74" s="101">
        <f t="shared" si="5"/>
        <v>0</v>
      </c>
      <c r="Y74" s="101">
        <f t="shared" si="3"/>
        <v>0</v>
      </c>
      <c r="Z74" s="101">
        <f t="shared" si="4"/>
        <v>0</v>
      </c>
    </row>
    <row r="75" spans="6:26">
      <c r="F75" s="4">
        <v>62</v>
      </c>
      <c r="G75" s="4">
        <v>2</v>
      </c>
      <c r="H75" s="4" t="str">
        <v>western cape</v>
      </c>
      <c r="I75" s="4" t="str">
        <v>company_e</v>
      </c>
      <c r="K75" s="13">
        <v>62</v>
      </c>
      <c r="L75" s="13">
        <v>2649699.2330792407</v>
      </c>
      <c r="M75" s="13">
        <v>1346680.7057998674</v>
      </c>
      <c r="N75" s="13">
        <v>3535124.435705218</v>
      </c>
      <c r="O75" s="10"/>
      <c r="P75" s="13">
        <f t="shared" si="0"/>
        <v>0</v>
      </c>
      <c r="Q75" s="13">
        <f t="shared" si="6"/>
        <v>0</v>
      </c>
      <c r="R75" s="13">
        <f t="shared" si="2"/>
        <v>0</v>
      </c>
      <c r="S75" s="11"/>
      <c r="T75" s="13" cm="1">
        <f t="array" ref="T75">_xlfn.IFS($G75="__overall__",
SUMIFS(PremRes!$G$8:$G$208,PremRes!$B$8:$B$208,$G75,PremRes!$C$8:$C$208,$H75,PremRes!$F$8:$F$208,$I75,PremRes!$D$8:$D$208,T$12),
TRUE,
SUMIFS(PremRes!$G$8:$G$208,PremRes!$B$8:$B$208,"level_"&amp;$G75,PremRes!$C$8:$C$208,$H75,PremRes!$F$8:$F$208,$I75,PremRes!$D$8:$D$208,T$12))</f>
        <v>0</v>
      </c>
      <c r="U75" s="13" cm="1">
        <f t="array" ref="U75">_xlfn.IFS($G75="__overall__",
SUMIFS(PremRes!$G$8:$G$208,PremRes!$B$8:$B$208,$G75,PremRes!$C$8:$C$208,$H75,PremRes!$F$8:$F$208,$I75,PremRes!$D$8:$D$208,U$12),
TRUE,
SUMIFS(PremRes!$G$8:$G$208,PremRes!$B$8:$B$208,"level_"&amp;$G75,PremRes!$C$8:$C$208,$H75,PremRes!$F$8:$F$208,$I75,PremRes!$D$8:$D$208,U$12))</f>
        <v>0</v>
      </c>
      <c r="V75" s="13" cm="1">
        <f t="array" ref="V75">_xlfn.IFS($G75="__overall__",
SUMIFS(PremRes!$G$8:$G$208,PremRes!$B$8:$B$208,$G75,PremRes!$C$8:$C$208,$H75,PremRes!$F$8:$F$208,$I75,PremRes!$D$8:$D$208,V$12),
TRUE,
SUMIFS(PremRes!$G$8:$G$208,PremRes!$B$8:$B$208,"level_"&amp;$G75,PremRes!$C$8:$C$208,$H75,PremRes!$F$8:$F$208,$I75,PremRes!$D$8:$D$208,V$12))</f>
        <v>0</v>
      </c>
      <c r="X75" s="101">
        <f t="shared" si="5"/>
        <v>0</v>
      </c>
      <c r="Y75" s="101">
        <f t="shared" si="3"/>
        <v>0</v>
      </c>
      <c r="Z75" s="101">
        <f t="shared" si="4"/>
        <v>0</v>
      </c>
    </row>
    <row r="76" spans="6:26">
      <c r="F76" s="4">
        <v>63</v>
      </c>
      <c r="G76" s="4">
        <v>2</v>
      </c>
      <c r="H76" s="4" t="str">
        <v>western cape</v>
      </c>
      <c r="I76" s="4" t="str">
        <v>company_g</v>
      </c>
      <c r="K76" s="13">
        <v>63</v>
      </c>
      <c r="L76" s="13">
        <v>2649699.2330792407</v>
      </c>
      <c r="M76" s="13">
        <v>1346680.7057998674</v>
      </c>
      <c r="N76" s="13">
        <v>3535124.435705218</v>
      </c>
      <c r="O76" s="10"/>
      <c r="P76" s="13">
        <f t="shared" si="0"/>
        <v>0</v>
      </c>
      <c r="Q76" s="13">
        <f t="shared" si="6"/>
        <v>0</v>
      </c>
      <c r="R76" s="13">
        <f t="shared" si="2"/>
        <v>0</v>
      </c>
      <c r="S76" s="11"/>
      <c r="T76" s="13" cm="1">
        <f t="array" ref="T76">_xlfn.IFS($G76="__overall__",
SUMIFS(PremRes!$G$8:$G$208,PremRes!$B$8:$B$208,$G76,PremRes!$C$8:$C$208,$H76,PremRes!$F$8:$F$208,$I76,PremRes!$D$8:$D$208,T$12),
TRUE,
SUMIFS(PremRes!$G$8:$G$208,PremRes!$B$8:$B$208,"level_"&amp;$G76,PremRes!$C$8:$C$208,$H76,PremRes!$F$8:$F$208,$I76,PremRes!$D$8:$D$208,T$12))</f>
        <v>0</v>
      </c>
      <c r="U76" s="13" cm="1">
        <f t="array" ref="U76">_xlfn.IFS($G76="__overall__",
SUMIFS(PremRes!$G$8:$G$208,PremRes!$B$8:$B$208,$G76,PremRes!$C$8:$C$208,$H76,PremRes!$F$8:$F$208,$I76,PremRes!$D$8:$D$208,U$12),
TRUE,
SUMIFS(PremRes!$G$8:$G$208,PremRes!$B$8:$B$208,"level_"&amp;$G76,PremRes!$C$8:$C$208,$H76,PremRes!$F$8:$F$208,$I76,PremRes!$D$8:$D$208,U$12))</f>
        <v>0</v>
      </c>
      <c r="V76" s="13" cm="1">
        <f t="array" ref="V76">_xlfn.IFS($G76="__overall__",
SUMIFS(PremRes!$G$8:$G$208,PremRes!$B$8:$B$208,$G76,PremRes!$C$8:$C$208,$H76,PremRes!$F$8:$F$208,$I76,PremRes!$D$8:$D$208,V$12),
TRUE,
SUMIFS(PremRes!$G$8:$G$208,PremRes!$B$8:$B$208,"level_"&amp;$G76,PremRes!$C$8:$C$208,$H76,PremRes!$F$8:$F$208,$I76,PremRes!$D$8:$D$208,V$12))</f>
        <v>0</v>
      </c>
      <c r="X76" s="101">
        <f t="shared" si="5"/>
        <v>0</v>
      </c>
      <c r="Y76" s="101">
        <f t="shared" si="3"/>
        <v>0</v>
      </c>
      <c r="Z76" s="101">
        <f t="shared" si="4"/>
        <v>0</v>
      </c>
    </row>
    <row r="77" spans="6:26">
      <c r="F77" s="4">
        <v>64</v>
      </c>
      <c r="G77" s="4">
        <v>2</v>
      </c>
      <c r="H77" s="4" t="str">
        <v>limpopo</v>
      </c>
      <c r="I77" s="4" t="str">
        <v>gross charge</v>
      </c>
      <c r="K77" s="13">
        <v>64</v>
      </c>
      <c r="L77" s="13">
        <v>5039656.4603532217</v>
      </c>
      <c r="M77" s="13">
        <v>1720299.7698258436</v>
      </c>
      <c r="N77" s="13">
        <v>6083749.9331477508</v>
      </c>
      <c r="O77" s="10"/>
      <c r="P77" s="13">
        <f t="shared" si="0"/>
        <v>5039656.4603532217</v>
      </c>
      <c r="Q77" s="13">
        <f t="shared" si="6"/>
        <v>1720299.7698258436</v>
      </c>
      <c r="R77" s="13">
        <f t="shared" si="2"/>
        <v>6083749.9331477508</v>
      </c>
      <c r="S77" s="11"/>
      <c r="T77" s="13" cm="1">
        <f t="array" ref="T77">_xlfn.IFS($G77="__overall__",
SUMIFS(PremRes!$G$8:$G$208,PremRes!$B$8:$B$208,$G77,PremRes!$C$8:$C$208,$H77,PremRes!$F$8:$F$208,$I77,PremRes!$D$8:$D$208,T$12),
TRUE,
SUMIFS(PremRes!$G$8:$G$208,PremRes!$B$8:$B$208,"level_"&amp;$G77,PremRes!$C$8:$C$208,$H77,PremRes!$F$8:$F$208,$I77,PremRes!$D$8:$D$208,T$12))</f>
        <v>5039656.4603532217</v>
      </c>
      <c r="U77" s="13" cm="1">
        <f t="array" ref="U77">_xlfn.IFS($G77="__overall__",
SUMIFS(PremRes!$G$8:$G$208,PremRes!$B$8:$B$208,$G77,PremRes!$C$8:$C$208,$H77,PremRes!$F$8:$F$208,$I77,PremRes!$D$8:$D$208,U$12),
TRUE,
SUMIFS(PremRes!$G$8:$G$208,PremRes!$B$8:$B$208,"level_"&amp;$G77,PremRes!$C$8:$C$208,$H77,PremRes!$F$8:$F$208,$I77,PremRes!$D$8:$D$208,U$12))</f>
        <v>1720299.7698258434</v>
      </c>
      <c r="V77" s="13" cm="1">
        <f t="array" ref="V77">_xlfn.IFS($G77="__overall__",
SUMIFS(PremRes!$G$8:$G$208,PremRes!$B$8:$B$208,$G77,PremRes!$C$8:$C$208,$H77,PremRes!$F$8:$F$208,$I77,PremRes!$D$8:$D$208,V$12),
TRUE,
SUMIFS(PremRes!$G$8:$G$208,PremRes!$B$8:$B$208,"level_"&amp;$G77,PremRes!$C$8:$C$208,$H77,PremRes!$F$8:$F$208,$I77,PremRes!$D$8:$D$208,V$12))</f>
        <v>6083749.9331477517</v>
      </c>
      <c r="X77" s="101">
        <f t="shared" si="5"/>
        <v>0</v>
      </c>
      <c r="Y77" s="101">
        <f t="shared" si="3"/>
        <v>0</v>
      </c>
      <c r="Z77" s="101">
        <f t="shared" si="4"/>
        <v>0</v>
      </c>
    </row>
    <row r="78" spans="6:26">
      <c r="F78" s="4">
        <v>65</v>
      </c>
      <c r="G78" s="4">
        <v>2</v>
      </c>
      <c r="H78" s="4" t="str">
        <v>limpopo</v>
      </c>
      <c r="I78" s="4" t="str">
        <v>net charge</v>
      </c>
      <c r="K78" s="13">
        <v>65</v>
      </c>
      <c r="L78" s="13">
        <v>4688778.0248029083</v>
      </c>
      <c r="M78" s="13">
        <v>1585929.9032224701</v>
      </c>
      <c r="N78" s="13">
        <v>5649953.593754949</v>
      </c>
      <c r="O78" s="10"/>
      <c r="P78" s="13">
        <f t="shared" ref="P78:P130" si="7">IF(OR($I78="gross charge",$I78="net charge",$I78="calculated net charge"),L78,L78-SUMIFS(L$14:L$130,$G$14:$G$130,$G78,$H$14:$H$130,$H78,$I$14:$I$130,"calculated net charge"))</f>
        <v>4688778.0248029083</v>
      </c>
      <c r="Q78" s="13">
        <f t="shared" si="6"/>
        <v>1585929.9032224701</v>
      </c>
      <c r="R78" s="13">
        <f t="shared" ref="R78:R130" si="8">IF(OR($I78="gross charge",$I78="net charge",$I78="calculated net charge"),N78,N78-SUMIFS(N$14:N$130,$G$14:$G$130,$G78,$H$14:$H$130,$H78,$I$14:$I$130,"calculated net charge"))</f>
        <v>5649953.593754949</v>
      </c>
      <c r="S78" s="11"/>
      <c r="T78" s="13" cm="1">
        <f t="array" ref="T78">_xlfn.IFS($G78="__overall__",
SUMIFS(PremRes!$G$8:$G$208,PremRes!$B$8:$B$208,$G78,PremRes!$C$8:$C$208,$H78,PremRes!$F$8:$F$208,$I78,PremRes!$D$8:$D$208,T$12),
TRUE,
SUMIFS(PremRes!$G$8:$G$208,PremRes!$B$8:$B$208,"level_"&amp;$G78,PremRes!$C$8:$C$208,$H78,PremRes!$F$8:$F$208,$I78,PremRes!$D$8:$D$208,T$12))</f>
        <v>4688778.0248029083</v>
      </c>
      <c r="U78" s="13" cm="1">
        <f t="array" ref="U78">_xlfn.IFS($G78="__overall__",
SUMIFS(PremRes!$G$8:$G$208,PremRes!$B$8:$B$208,$G78,PremRes!$C$8:$C$208,$H78,PremRes!$F$8:$F$208,$I78,PremRes!$D$8:$D$208,U$12),
TRUE,
SUMIFS(PremRes!$G$8:$G$208,PremRes!$B$8:$B$208,"level_"&amp;$G78,PremRes!$C$8:$C$208,$H78,PremRes!$F$8:$F$208,$I78,PremRes!$D$8:$D$208,U$12))</f>
        <v>1585929.9032224701</v>
      </c>
      <c r="V78" s="13" cm="1">
        <f t="array" ref="V78">_xlfn.IFS($G78="__overall__",
SUMIFS(PremRes!$G$8:$G$208,PremRes!$B$8:$B$208,$G78,PremRes!$C$8:$C$208,$H78,PremRes!$F$8:$F$208,$I78,PremRes!$D$8:$D$208,V$12),
TRUE,
SUMIFS(PremRes!$G$8:$G$208,PremRes!$B$8:$B$208,"level_"&amp;$G78,PremRes!$C$8:$C$208,$H78,PremRes!$F$8:$F$208,$I78,PremRes!$D$8:$D$208,V$12))</f>
        <v>5649953.593754949</v>
      </c>
      <c r="X78" s="101">
        <f t="shared" si="5"/>
        <v>0</v>
      </c>
      <c r="Y78" s="101">
        <f t="shared" ref="Y78:Y130" si="9">Q78-U78</f>
        <v>0</v>
      </c>
      <c r="Z78" s="101">
        <f t="shared" ref="Z78:Z130" si="10">R78-V78</f>
        <v>0</v>
      </c>
    </row>
    <row r="79" spans="6:26">
      <c r="F79" s="4">
        <v>66</v>
      </c>
      <c r="G79" s="4">
        <v>2</v>
      </c>
      <c r="H79" s="4" t="str">
        <v>limpopo</v>
      </c>
      <c r="I79" s="4" t="str">
        <v>calculated net charge</v>
      </c>
      <c r="K79" s="13">
        <v>66</v>
      </c>
      <c r="L79" s="13">
        <v>4711861.4385210983</v>
      </c>
      <c r="M79" s="13">
        <v>1594785.1947030118</v>
      </c>
      <c r="N79" s="13">
        <v>5678502.2014692333</v>
      </c>
      <c r="O79" s="10"/>
      <c r="P79" s="13">
        <f t="shared" si="7"/>
        <v>4711861.4385210983</v>
      </c>
      <c r="Q79" s="13">
        <f t="shared" si="6"/>
        <v>1594785.1947030118</v>
      </c>
      <c r="R79" s="13">
        <f t="shared" si="8"/>
        <v>5678502.2014692333</v>
      </c>
      <c r="S79" s="11"/>
      <c r="T79" s="13" cm="1">
        <f t="array" ref="T79">_xlfn.IFS($G79="__overall__",
SUMIFS(PremRes!$G$8:$G$208,PremRes!$B$8:$B$208,$G79,PremRes!$C$8:$C$208,$H79,PremRes!$F$8:$F$208,$I79,PremRes!$D$8:$D$208,T$12),
TRUE,
SUMIFS(PremRes!$G$8:$G$208,PremRes!$B$8:$B$208,"level_"&amp;$G79,PremRes!$C$8:$C$208,$H79,PremRes!$F$8:$F$208,$I79,PremRes!$D$8:$D$208,T$12))</f>
        <v>4711861.4385210993</v>
      </c>
      <c r="U79" s="13" cm="1">
        <f t="array" ref="U79">_xlfn.IFS($G79="__overall__",
SUMIFS(PremRes!$G$8:$G$208,PremRes!$B$8:$B$208,$G79,PremRes!$C$8:$C$208,$H79,PremRes!$F$8:$F$208,$I79,PremRes!$D$8:$D$208,U$12),
TRUE,
SUMIFS(PremRes!$G$8:$G$208,PremRes!$B$8:$B$208,"level_"&amp;$G79,PremRes!$C$8:$C$208,$H79,PremRes!$F$8:$F$208,$I79,PremRes!$D$8:$D$208,U$12))</f>
        <v>1594785.1947030118</v>
      </c>
      <c r="V79" s="13" cm="1">
        <f t="array" ref="V79">_xlfn.IFS($G79="__overall__",
SUMIFS(PremRes!$G$8:$G$208,PremRes!$B$8:$B$208,$G79,PremRes!$C$8:$C$208,$H79,PremRes!$F$8:$F$208,$I79,PremRes!$D$8:$D$208,V$12),
TRUE,
SUMIFS(PremRes!$G$8:$G$208,PremRes!$B$8:$B$208,"level_"&amp;$G79,PremRes!$C$8:$C$208,$H79,PremRes!$F$8:$F$208,$I79,PremRes!$D$8:$D$208,V$12))</f>
        <v>5678502.2014692333</v>
      </c>
      <c r="X79" s="101">
        <f t="shared" ref="X79:X130" si="11">P79-T79</f>
        <v>0</v>
      </c>
      <c r="Y79" s="101">
        <f t="shared" si="9"/>
        <v>0</v>
      </c>
      <c r="Z79" s="101">
        <f t="shared" si="10"/>
        <v>0</v>
      </c>
    </row>
    <row r="80" spans="6:26">
      <c r="F80" s="4">
        <v>67</v>
      </c>
      <c r="G80" s="4">
        <v>2</v>
      </c>
      <c r="H80" s="4" t="str">
        <v>limpopo</v>
      </c>
      <c r="I80" s="4" t="str">
        <v>company_a</v>
      </c>
      <c r="K80" s="13">
        <v>67</v>
      </c>
      <c r="L80" s="13">
        <v>4711861.4385210983</v>
      </c>
      <c r="M80" s="13">
        <v>1594785.1947030118</v>
      </c>
      <c r="N80" s="13">
        <v>5678502.2014692333</v>
      </c>
      <c r="O80" s="10"/>
      <c r="P80" s="13">
        <f t="shared" si="7"/>
        <v>0</v>
      </c>
      <c r="Q80" s="13">
        <f t="shared" si="6"/>
        <v>0</v>
      </c>
      <c r="R80" s="13">
        <f t="shared" si="8"/>
        <v>0</v>
      </c>
      <c r="S80" s="11"/>
      <c r="T80" s="13" cm="1">
        <f t="array" ref="T80">_xlfn.IFS($G80="__overall__",
SUMIFS(PremRes!$G$8:$G$208,PremRes!$B$8:$B$208,$G80,PremRes!$C$8:$C$208,$H80,PremRes!$F$8:$F$208,$I80,PremRes!$D$8:$D$208,T$12),
TRUE,
SUMIFS(PremRes!$G$8:$G$208,PremRes!$B$8:$B$208,"level_"&amp;$G80,PremRes!$C$8:$C$208,$H80,PremRes!$F$8:$F$208,$I80,PremRes!$D$8:$D$208,T$12))</f>
        <v>0</v>
      </c>
      <c r="U80" s="13" cm="1">
        <f t="array" ref="U80">_xlfn.IFS($G80="__overall__",
SUMIFS(PremRes!$G$8:$G$208,PremRes!$B$8:$B$208,$G80,PremRes!$C$8:$C$208,$H80,PremRes!$F$8:$F$208,$I80,PremRes!$D$8:$D$208,U$12),
TRUE,
SUMIFS(PremRes!$G$8:$G$208,PremRes!$B$8:$B$208,"level_"&amp;$G80,PremRes!$C$8:$C$208,$H80,PremRes!$F$8:$F$208,$I80,PremRes!$D$8:$D$208,U$12))</f>
        <v>0</v>
      </c>
      <c r="V80" s="13" cm="1">
        <f t="array" ref="V80">_xlfn.IFS($G80="__overall__",
SUMIFS(PremRes!$G$8:$G$208,PremRes!$B$8:$B$208,$G80,PremRes!$C$8:$C$208,$H80,PremRes!$F$8:$F$208,$I80,PremRes!$D$8:$D$208,V$12),
TRUE,
SUMIFS(PremRes!$G$8:$G$208,PremRes!$B$8:$B$208,"level_"&amp;$G80,PremRes!$C$8:$C$208,$H80,PremRes!$F$8:$F$208,$I80,PremRes!$D$8:$D$208,V$12))</f>
        <v>0</v>
      </c>
      <c r="X80" s="101">
        <f t="shared" si="11"/>
        <v>0</v>
      </c>
      <c r="Y80" s="101">
        <f t="shared" si="9"/>
        <v>0</v>
      </c>
      <c r="Z80" s="101">
        <f t="shared" si="10"/>
        <v>0</v>
      </c>
    </row>
    <row r="81" spans="6:26">
      <c r="F81" s="4">
        <v>68</v>
      </c>
      <c r="G81" s="4">
        <v>2</v>
      </c>
      <c r="H81" s="4" t="str">
        <v>limpopo</v>
      </c>
      <c r="I81" s="4" t="str">
        <v>company_b</v>
      </c>
      <c r="K81" s="13">
        <v>68</v>
      </c>
      <c r="L81" s="13">
        <v>4827968.2562308498</v>
      </c>
      <c r="M81" s="13">
        <v>1639292.510593208</v>
      </c>
      <c r="N81" s="13">
        <v>5822075.9823801769</v>
      </c>
      <c r="O81" s="10"/>
      <c r="P81" s="13">
        <f t="shared" si="7"/>
        <v>116106.81770975143</v>
      </c>
      <c r="Q81" s="13">
        <f t="shared" si="6"/>
        <v>44507.315890196245</v>
      </c>
      <c r="R81" s="13">
        <f t="shared" si="8"/>
        <v>143573.78091094363</v>
      </c>
      <c r="S81" s="11"/>
      <c r="T81" s="13" cm="1">
        <f t="array" ref="T81">_xlfn.IFS($G81="__overall__",
SUMIFS(PremRes!$G$8:$G$208,PremRes!$B$8:$B$208,$G81,PremRes!$C$8:$C$208,$H81,PremRes!$F$8:$F$208,$I81,PremRes!$D$8:$D$208,T$12),
TRUE,
SUMIFS(PremRes!$G$8:$G$208,PremRes!$B$8:$B$208,"level_"&amp;$G81,PremRes!$C$8:$C$208,$H81,PremRes!$F$8:$F$208,$I81,PremRes!$D$8:$D$208,T$12))</f>
        <v>116106.8177097505</v>
      </c>
      <c r="U81" s="13" cm="1">
        <f t="array" ref="U81">_xlfn.IFS($G81="__overall__",
SUMIFS(PremRes!$G$8:$G$208,PremRes!$B$8:$B$208,$G81,PremRes!$C$8:$C$208,$H81,PremRes!$F$8:$F$208,$I81,PremRes!$D$8:$D$208,U$12),
TRUE,
SUMIFS(PremRes!$G$8:$G$208,PremRes!$B$8:$B$208,"level_"&amp;$G81,PremRes!$C$8:$C$208,$H81,PremRes!$F$8:$F$208,$I81,PremRes!$D$8:$D$208,U$12))</f>
        <v>44507.315890196478</v>
      </c>
      <c r="V81" s="13" cm="1">
        <f t="array" ref="V81">_xlfn.IFS($G81="__overall__",
SUMIFS(PremRes!$G$8:$G$208,PremRes!$B$8:$B$208,$G81,PremRes!$C$8:$C$208,$H81,PremRes!$F$8:$F$208,$I81,PremRes!$D$8:$D$208,V$12),
TRUE,
SUMIFS(PremRes!$G$8:$G$208,PremRes!$B$8:$B$208,"level_"&amp;$G81,PremRes!$C$8:$C$208,$H81,PremRes!$F$8:$F$208,$I81,PremRes!$D$8:$D$208,V$12))</f>
        <v>143573.78091094363</v>
      </c>
      <c r="X81" s="101">
        <f t="shared" si="11"/>
        <v>9.3132257461547852E-10</v>
      </c>
      <c r="Y81" s="101">
        <f t="shared" si="9"/>
        <v>-2.3283064365386963E-10</v>
      </c>
      <c r="Z81" s="101">
        <f t="shared" si="10"/>
        <v>0</v>
      </c>
    </row>
    <row r="82" spans="6:26">
      <c r="F82" s="4">
        <v>69</v>
      </c>
      <c r="G82" s="4">
        <v>2</v>
      </c>
      <c r="H82" s="4" t="str">
        <v>limpopo</v>
      </c>
      <c r="I82" s="4" t="str">
        <v>company_c</v>
      </c>
      <c r="K82" s="13">
        <v>69</v>
      </c>
      <c r="L82" s="13">
        <v>4921642.2988865497</v>
      </c>
      <c r="M82" s="13">
        <v>1675160.6536451844</v>
      </c>
      <c r="N82" s="13">
        <v>5937883.6201633001</v>
      </c>
      <c r="O82" s="10"/>
      <c r="P82" s="13">
        <f t="shared" si="7"/>
        <v>209780.86036545131</v>
      </c>
      <c r="Q82" s="13">
        <f t="shared" ref="Q82:Q130" si="12">IF(OR($I82="gross charge",$I82="net charge",$I82="calculated net charge"),M82,M82-SUMIFS(M$14:M$130,$G$14:$G$130,$G82,$H$14:$H$130,$H82,$I$14:$I$130,"calculated net charge"))</f>
        <v>80375.458942172583</v>
      </c>
      <c r="R82" s="13">
        <f t="shared" si="8"/>
        <v>259381.41869406682</v>
      </c>
      <c r="S82" s="11"/>
      <c r="T82" s="13" cm="1">
        <f t="array" ref="T82">_xlfn.IFS($G82="__overall__",
SUMIFS(PremRes!$G$8:$G$208,PremRes!$B$8:$B$208,$G82,PremRes!$C$8:$C$208,$H82,PremRes!$F$8:$F$208,$I82,PremRes!$D$8:$D$208,T$12),
TRUE,
SUMIFS(PremRes!$G$8:$G$208,PremRes!$B$8:$B$208,"level_"&amp;$G82,PremRes!$C$8:$C$208,$H82,PremRes!$F$8:$F$208,$I82,PremRes!$D$8:$D$208,T$12))</f>
        <v>209780.86036545038</v>
      </c>
      <c r="U82" s="13" cm="1">
        <f t="array" ref="U82">_xlfn.IFS($G82="__overall__",
SUMIFS(PremRes!$G$8:$G$208,PremRes!$B$8:$B$208,$G82,PremRes!$C$8:$C$208,$H82,PremRes!$F$8:$F$208,$I82,PremRes!$D$8:$D$208,U$12),
TRUE,
SUMIFS(PremRes!$G$8:$G$208,PremRes!$B$8:$B$208,"level_"&amp;$G82,PremRes!$C$8:$C$208,$H82,PremRes!$F$8:$F$208,$I82,PremRes!$D$8:$D$208,U$12))</f>
        <v>80375.458942173049</v>
      </c>
      <c r="V82" s="13" cm="1">
        <f t="array" ref="V82">_xlfn.IFS($G82="__overall__",
SUMIFS(PremRes!$G$8:$G$208,PremRes!$B$8:$B$208,$G82,PremRes!$C$8:$C$208,$H82,PremRes!$F$8:$F$208,$I82,PremRes!$D$8:$D$208,V$12),
TRUE,
SUMIFS(PremRes!$G$8:$G$208,PremRes!$B$8:$B$208,"level_"&amp;$G82,PremRes!$C$8:$C$208,$H82,PremRes!$F$8:$F$208,$I82,PremRes!$D$8:$D$208,V$12))</f>
        <v>259381.41869406775</v>
      </c>
      <c r="X82" s="101">
        <f t="shared" si="11"/>
        <v>9.3132257461547852E-10</v>
      </c>
      <c r="Y82" s="101">
        <f t="shared" si="9"/>
        <v>-4.6566128730773926E-10</v>
      </c>
      <c r="Z82" s="101">
        <f t="shared" si="10"/>
        <v>-9.3132257461547852E-10</v>
      </c>
    </row>
    <row r="83" spans="6:26">
      <c r="F83" s="4">
        <v>70</v>
      </c>
      <c r="G83" s="4">
        <v>2</v>
      </c>
      <c r="H83" s="4" t="str">
        <v>limpopo</v>
      </c>
      <c r="I83" s="4" t="str">
        <v>company_d</v>
      </c>
      <c r="K83" s="13">
        <v>70</v>
      </c>
      <c r="L83" s="13">
        <v>4711861.4385210983</v>
      </c>
      <c r="M83" s="13">
        <v>1594785.1947030118</v>
      </c>
      <c r="N83" s="13">
        <v>5678502.2014692333</v>
      </c>
      <c r="O83" s="10"/>
      <c r="P83" s="13">
        <f t="shared" si="7"/>
        <v>0</v>
      </c>
      <c r="Q83" s="13">
        <f t="shared" si="12"/>
        <v>0</v>
      </c>
      <c r="R83" s="13">
        <f t="shared" si="8"/>
        <v>0</v>
      </c>
      <c r="S83" s="11"/>
      <c r="T83" s="13" cm="1">
        <f t="array" ref="T83">_xlfn.IFS($G83="__overall__",
SUMIFS(PremRes!$G$8:$G$208,PremRes!$B$8:$B$208,$G83,PremRes!$C$8:$C$208,$H83,PremRes!$F$8:$F$208,$I83,PremRes!$D$8:$D$208,T$12),
TRUE,
SUMIFS(PremRes!$G$8:$G$208,PremRes!$B$8:$B$208,"level_"&amp;$G83,PremRes!$C$8:$C$208,$H83,PremRes!$F$8:$F$208,$I83,PremRes!$D$8:$D$208,T$12))</f>
        <v>0</v>
      </c>
      <c r="U83" s="13" cm="1">
        <f t="array" ref="U83">_xlfn.IFS($G83="__overall__",
SUMIFS(PremRes!$G$8:$G$208,PremRes!$B$8:$B$208,$G83,PremRes!$C$8:$C$208,$H83,PremRes!$F$8:$F$208,$I83,PremRes!$D$8:$D$208,U$12),
TRUE,
SUMIFS(PremRes!$G$8:$G$208,PremRes!$B$8:$B$208,"level_"&amp;$G83,PremRes!$C$8:$C$208,$H83,PremRes!$F$8:$F$208,$I83,PremRes!$D$8:$D$208,U$12))</f>
        <v>0</v>
      </c>
      <c r="V83" s="13" cm="1">
        <f t="array" ref="V83">_xlfn.IFS($G83="__overall__",
SUMIFS(PremRes!$G$8:$G$208,PremRes!$B$8:$B$208,$G83,PremRes!$C$8:$C$208,$H83,PremRes!$F$8:$F$208,$I83,PremRes!$D$8:$D$208,V$12),
TRUE,
SUMIFS(PremRes!$G$8:$G$208,PremRes!$B$8:$B$208,"level_"&amp;$G83,PremRes!$C$8:$C$208,$H83,PremRes!$F$8:$F$208,$I83,PremRes!$D$8:$D$208,V$12))</f>
        <v>0</v>
      </c>
      <c r="X83" s="101">
        <f t="shared" si="11"/>
        <v>0</v>
      </c>
      <c r="Y83" s="101">
        <f t="shared" si="9"/>
        <v>0</v>
      </c>
      <c r="Z83" s="101">
        <f t="shared" si="10"/>
        <v>0</v>
      </c>
    </row>
    <row r="84" spans="6:26">
      <c r="F84" s="4">
        <v>71</v>
      </c>
      <c r="G84" s="4">
        <v>2</v>
      </c>
      <c r="H84" s="4" t="str">
        <v>limpopo</v>
      </c>
      <c r="I84" s="4" t="str">
        <v>company_e</v>
      </c>
      <c r="K84" s="13">
        <v>71</v>
      </c>
      <c r="L84" s="13">
        <v>4711861.4385210983</v>
      </c>
      <c r="M84" s="13">
        <v>1594785.1947030118</v>
      </c>
      <c r="N84" s="13">
        <v>5678502.2014692333</v>
      </c>
      <c r="O84" s="10"/>
      <c r="P84" s="13">
        <f t="shared" si="7"/>
        <v>0</v>
      </c>
      <c r="Q84" s="13">
        <f t="shared" si="12"/>
        <v>0</v>
      </c>
      <c r="R84" s="13">
        <f t="shared" si="8"/>
        <v>0</v>
      </c>
      <c r="S84" s="11"/>
      <c r="T84" s="13" cm="1">
        <f t="array" ref="T84">_xlfn.IFS($G84="__overall__",
SUMIFS(PremRes!$G$8:$G$208,PremRes!$B$8:$B$208,$G84,PremRes!$C$8:$C$208,$H84,PremRes!$F$8:$F$208,$I84,PremRes!$D$8:$D$208,T$12),
TRUE,
SUMIFS(PremRes!$G$8:$G$208,PremRes!$B$8:$B$208,"level_"&amp;$G84,PremRes!$C$8:$C$208,$H84,PremRes!$F$8:$F$208,$I84,PremRes!$D$8:$D$208,T$12))</f>
        <v>0</v>
      </c>
      <c r="U84" s="13" cm="1">
        <f t="array" ref="U84">_xlfn.IFS($G84="__overall__",
SUMIFS(PremRes!$G$8:$G$208,PremRes!$B$8:$B$208,$G84,PremRes!$C$8:$C$208,$H84,PremRes!$F$8:$F$208,$I84,PremRes!$D$8:$D$208,U$12),
TRUE,
SUMIFS(PremRes!$G$8:$G$208,PremRes!$B$8:$B$208,"level_"&amp;$G84,PremRes!$C$8:$C$208,$H84,PremRes!$F$8:$F$208,$I84,PremRes!$D$8:$D$208,U$12))</f>
        <v>0</v>
      </c>
      <c r="V84" s="13" cm="1">
        <f t="array" ref="V84">_xlfn.IFS($G84="__overall__",
SUMIFS(PremRes!$G$8:$G$208,PremRes!$B$8:$B$208,$G84,PremRes!$C$8:$C$208,$H84,PremRes!$F$8:$F$208,$I84,PremRes!$D$8:$D$208,V$12),
TRUE,
SUMIFS(PremRes!$G$8:$G$208,PremRes!$B$8:$B$208,"level_"&amp;$G84,PremRes!$C$8:$C$208,$H84,PremRes!$F$8:$F$208,$I84,PremRes!$D$8:$D$208,V$12))</f>
        <v>0</v>
      </c>
      <c r="X84" s="101">
        <f t="shared" si="11"/>
        <v>0</v>
      </c>
      <c r="Y84" s="101">
        <f t="shared" si="9"/>
        <v>0</v>
      </c>
      <c r="Z84" s="101">
        <f t="shared" si="10"/>
        <v>0</v>
      </c>
    </row>
    <row r="85" spans="6:26">
      <c r="F85" s="4">
        <v>72</v>
      </c>
      <c r="G85" s="4">
        <v>2</v>
      </c>
      <c r="H85" s="4" t="str">
        <v>limpopo</v>
      </c>
      <c r="I85" s="4" t="str">
        <v>company_g</v>
      </c>
      <c r="K85" s="13">
        <v>72</v>
      </c>
      <c r="L85" s="13">
        <v>4711861.4385210983</v>
      </c>
      <c r="M85" s="13">
        <v>1594785.1947030118</v>
      </c>
      <c r="N85" s="13">
        <v>5678502.2014692333</v>
      </c>
      <c r="O85" s="10"/>
      <c r="P85" s="13">
        <f t="shared" si="7"/>
        <v>0</v>
      </c>
      <c r="Q85" s="13">
        <f t="shared" si="12"/>
        <v>0</v>
      </c>
      <c r="R85" s="13">
        <f t="shared" si="8"/>
        <v>0</v>
      </c>
      <c r="S85" s="11"/>
      <c r="T85" s="13" cm="1">
        <f t="array" ref="T85">_xlfn.IFS($G85="__overall__",
SUMIFS(PremRes!$G$8:$G$208,PremRes!$B$8:$B$208,$G85,PremRes!$C$8:$C$208,$H85,PremRes!$F$8:$F$208,$I85,PremRes!$D$8:$D$208,T$12),
TRUE,
SUMIFS(PremRes!$G$8:$G$208,PremRes!$B$8:$B$208,"level_"&amp;$G85,PremRes!$C$8:$C$208,$H85,PremRes!$F$8:$F$208,$I85,PremRes!$D$8:$D$208,T$12))</f>
        <v>0</v>
      </c>
      <c r="U85" s="13" cm="1">
        <f t="array" ref="U85">_xlfn.IFS($G85="__overall__",
SUMIFS(PremRes!$G$8:$G$208,PremRes!$B$8:$B$208,$G85,PremRes!$C$8:$C$208,$H85,PremRes!$F$8:$F$208,$I85,PremRes!$D$8:$D$208,U$12),
TRUE,
SUMIFS(PremRes!$G$8:$G$208,PremRes!$B$8:$B$208,"level_"&amp;$G85,PremRes!$C$8:$C$208,$H85,PremRes!$F$8:$F$208,$I85,PremRes!$D$8:$D$208,U$12))</f>
        <v>0</v>
      </c>
      <c r="V85" s="13" cm="1">
        <f t="array" ref="V85">_xlfn.IFS($G85="__overall__",
SUMIFS(PremRes!$G$8:$G$208,PremRes!$B$8:$B$208,$G85,PremRes!$C$8:$C$208,$H85,PremRes!$F$8:$F$208,$I85,PremRes!$D$8:$D$208,V$12),
TRUE,
SUMIFS(PremRes!$G$8:$G$208,PremRes!$B$8:$B$208,"level_"&amp;$G85,PremRes!$C$8:$C$208,$H85,PremRes!$F$8:$F$208,$I85,PremRes!$D$8:$D$208,V$12))</f>
        <v>0</v>
      </c>
      <c r="X85" s="101">
        <f t="shared" si="11"/>
        <v>0</v>
      </c>
      <c r="Y85" s="101">
        <f t="shared" si="9"/>
        <v>0</v>
      </c>
      <c r="Z85" s="101">
        <f t="shared" si="10"/>
        <v>0</v>
      </c>
    </row>
    <row r="86" spans="6:26">
      <c r="F86" s="4">
        <v>73</v>
      </c>
      <c r="G86" s="4">
        <v>2</v>
      </c>
      <c r="H86" s="4" t="str">
        <v>north west</v>
      </c>
      <c r="I86" s="4" t="str">
        <v>gross charge</v>
      </c>
      <c r="K86" s="13">
        <v>73</v>
      </c>
      <c r="L86" s="13">
        <v>4872830.3613621136</v>
      </c>
      <c r="M86" s="13">
        <v>1685290.9192192103</v>
      </c>
      <c r="N86" s="13">
        <v>5898015.0035073403</v>
      </c>
      <c r="O86" s="10"/>
      <c r="P86" s="13">
        <f t="shared" si="7"/>
        <v>4872830.3613621136</v>
      </c>
      <c r="Q86" s="13">
        <f t="shared" si="12"/>
        <v>1685290.9192192103</v>
      </c>
      <c r="R86" s="13">
        <f t="shared" si="8"/>
        <v>5898015.0035073403</v>
      </c>
      <c r="S86" s="11"/>
      <c r="T86" s="13" cm="1">
        <f t="array" ref="T86">_xlfn.IFS($G86="__overall__",
SUMIFS(PremRes!$G$8:$G$208,PremRes!$B$8:$B$208,$G86,PremRes!$C$8:$C$208,$H86,PremRes!$F$8:$F$208,$I86,PremRes!$D$8:$D$208,T$12),
TRUE,
SUMIFS(PremRes!$G$8:$G$208,PremRes!$B$8:$B$208,"level_"&amp;$G86,PremRes!$C$8:$C$208,$H86,PremRes!$F$8:$F$208,$I86,PremRes!$D$8:$D$208,T$12))</f>
        <v>4872830.3613621136</v>
      </c>
      <c r="U86" s="13" cm="1">
        <f t="array" ref="U86">_xlfn.IFS($G86="__overall__",
SUMIFS(PremRes!$G$8:$G$208,PremRes!$B$8:$B$208,$G86,PremRes!$C$8:$C$208,$H86,PremRes!$F$8:$F$208,$I86,PremRes!$D$8:$D$208,U$12),
TRUE,
SUMIFS(PremRes!$G$8:$G$208,PremRes!$B$8:$B$208,"level_"&amp;$G86,PremRes!$C$8:$C$208,$H86,PremRes!$F$8:$F$208,$I86,PremRes!$D$8:$D$208,U$12))</f>
        <v>1685290.9192192103</v>
      </c>
      <c r="V86" s="13" cm="1">
        <f t="array" ref="V86">_xlfn.IFS($G86="__overall__",
SUMIFS(PremRes!$G$8:$G$208,PremRes!$B$8:$B$208,$G86,PremRes!$C$8:$C$208,$H86,PremRes!$F$8:$F$208,$I86,PremRes!$D$8:$D$208,V$12),
TRUE,
SUMIFS(PremRes!$G$8:$G$208,PremRes!$B$8:$B$208,"level_"&amp;$G86,PremRes!$C$8:$C$208,$H86,PremRes!$F$8:$F$208,$I86,PremRes!$D$8:$D$208,V$12))</f>
        <v>5898015.0035073403</v>
      </c>
      <c r="X86" s="101">
        <f t="shared" si="11"/>
        <v>0</v>
      </c>
      <c r="Y86" s="101">
        <f t="shared" si="9"/>
        <v>0</v>
      </c>
      <c r="Z86" s="101">
        <f t="shared" si="10"/>
        <v>0</v>
      </c>
    </row>
    <row r="87" spans="6:26">
      <c r="F87" s="4">
        <v>74</v>
      </c>
      <c r="G87" s="4">
        <v>2</v>
      </c>
      <c r="H87" s="4" t="str">
        <v>north west</v>
      </c>
      <c r="I87" s="4" t="str">
        <v>net charge</v>
      </c>
      <c r="K87" s="13">
        <v>74</v>
      </c>
      <c r="L87" s="13">
        <v>3946558.5669142846</v>
      </c>
      <c r="M87" s="13">
        <v>1327861.4670349217</v>
      </c>
      <c r="N87" s="13">
        <v>4752711.9028189108</v>
      </c>
      <c r="O87" s="10"/>
      <c r="P87" s="13">
        <f t="shared" si="7"/>
        <v>3946558.5669142846</v>
      </c>
      <c r="Q87" s="13">
        <f t="shared" si="12"/>
        <v>1327861.4670349217</v>
      </c>
      <c r="R87" s="13">
        <f t="shared" si="8"/>
        <v>4752711.9028189108</v>
      </c>
      <c r="S87" s="11"/>
      <c r="T87" s="13" cm="1">
        <f t="array" ref="T87">_xlfn.IFS($G87="__overall__",
SUMIFS(PremRes!$G$8:$G$208,PremRes!$B$8:$B$208,$G87,PremRes!$C$8:$C$208,$H87,PremRes!$F$8:$F$208,$I87,PremRes!$D$8:$D$208,T$12),
TRUE,
SUMIFS(PremRes!$G$8:$G$208,PremRes!$B$8:$B$208,"level_"&amp;$G87,PremRes!$C$8:$C$208,$H87,PremRes!$F$8:$F$208,$I87,PremRes!$D$8:$D$208,T$12))</f>
        <v>3946558.5669142851</v>
      </c>
      <c r="U87" s="13" cm="1">
        <f t="array" ref="U87">_xlfn.IFS($G87="__overall__",
SUMIFS(PremRes!$G$8:$G$208,PremRes!$B$8:$B$208,$G87,PremRes!$C$8:$C$208,$H87,PremRes!$F$8:$F$208,$I87,PremRes!$D$8:$D$208,U$12),
TRUE,
SUMIFS(PremRes!$G$8:$G$208,PremRes!$B$8:$B$208,"level_"&amp;$G87,PremRes!$C$8:$C$208,$H87,PremRes!$F$8:$F$208,$I87,PremRes!$D$8:$D$208,U$12))</f>
        <v>1327861.4670349215</v>
      </c>
      <c r="V87" s="13" cm="1">
        <f t="array" ref="V87">_xlfn.IFS($G87="__overall__",
SUMIFS(PremRes!$G$8:$G$208,PremRes!$B$8:$B$208,$G87,PremRes!$C$8:$C$208,$H87,PremRes!$F$8:$F$208,$I87,PremRes!$D$8:$D$208,V$12),
TRUE,
SUMIFS(PremRes!$G$8:$G$208,PremRes!$B$8:$B$208,"level_"&amp;$G87,PremRes!$C$8:$C$208,$H87,PremRes!$F$8:$F$208,$I87,PremRes!$D$8:$D$208,V$12))</f>
        <v>4752711.9028189108</v>
      </c>
      <c r="X87" s="101">
        <f t="shared" si="11"/>
        <v>0</v>
      </c>
      <c r="Y87" s="101">
        <f t="shared" si="9"/>
        <v>0</v>
      </c>
      <c r="Z87" s="101">
        <f t="shared" si="10"/>
        <v>0</v>
      </c>
    </row>
    <row r="88" spans="6:26">
      <c r="F88" s="4">
        <v>75</v>
      </c>
      <c r="G88" s="4">
        <v>2</v>
      </c>
      <c r="H88" s="4" t="str">
        <v>north west</v>
      </c>
      <c r="I88" s="4" t="str">
        <v>calculated net charge</v>
      </c>
      <c r="K88" s="13">
        <v>75</v>
      </c>
      <c r="L88" s="13">
        <v>4032330.86357853</v>
      </c>
      <c r="M88" s="13">
        <v>1360981.9501292997</v>
      </c>
      <c r="N88" s="13">
        <v>4858871.5530990399</v>
      </c>
      <c r="O88" s="10"/>
      <c r="P88" s="13">
        <f t="shared" si="7"/>
        <v>4032330.86357853</v>
      </c>
      <c r="Q88" s="13">
        <f t="shared" si="12"/>
        <v>1360981.9501292997</v>
      </c>
      <c r="R88" s="13">
        <f t="shared" si="8"/>
        <v>4858871.5530990399</v>
      </c>
      <c r="S88" s="11"/>
      <c r="T88" s="13" cm="1">
        <f t="array" ref="T88">_xlfn.IFS($G88="__overall__",
SUMIFS(PremRes!$G$8:$G$208,PremRes!$B$8:$B$208,$G88,PremRes!$C$8:$C$208,$H88,PremRes!$F$8:$F$208,$I88,PremRes!$D$8:$D$208,T$12),
TRUE,
SUMIFS(PremRes!$G$8:$G$208,PremRes!$B$8:$B$208,"level_"&amp;$G88,PremRes!$C$8:$C$208,$H88,PremRes!$F$8:$F$208,$I88,PremRes!$D$8:$D$208,T$12))</f>
        <v>4032330.86357853</v>
      </c>
      <c r="U88" s="13" cm="1">
        <f t="array" ref="U88">_xlfn.IFS($G88="__overall__",
SUMIFS(PremRes!$G$8:$G$208,PremRes!$B$8:$B$208,$G88,PremRes!$C$8:$C$208,$H88,PremRes!$F$8:$F$208,$I88,PremRes!$D$8:$D$208,U$12),
TRUE,
SUMIFS(PremRes!$G$8:$G$208,PremRes!$B$8:$B$208,"level_"&amp;$G88,PremRes!$C$8:$C$208,$H88,PremRes!$F$8:$F$208,$I88,PremRes!$D$8:$D$208,U$12))</f>
        <v>1360981.9501292994</v>
      </c>
      <c r="V88" s="13" cm="1">
        <f t="array" ref="V88">_xlfn.IFS($G88="__overall__",
SUMIFS(PremRes!$G$8:$G$208,PremRes!$B$8:$B$208,$G88,PremRes!$C$8:$C$208,$H88,PremRes!$F$8:$F$208,$I88,PremRes!$D$8:$D$208,V$12),
TRUE,
SUMIFS(PremRes!$G$8:$G$208,PremRes!$B$8:$B$208,"level_"&amp;$G88,PremRes!$C$8:$C$208,$H88,PremRes!$F$8:$F$208,$I88,PremRes!$D$8:$D$208,V$12))</f>
        <v>4858871.5530990399</v>
      </c>
      <c r="X88" s="101">
        <f t="shared" si="11"/>
        <v>0</v>
      </c>
      <c r="Y88" s="101">
        <f t="shared" si="9"/>
        <v>0</v>
      </c>
      <c r="Z88" s="101">
        <f t="shared" si="10"/>
        <v>0</v>
      </c>
    </row>
    <row r="89" spans="6:26">
      <c r="F89" s="4">
        <v>76</v>
      </c>
      <c r="G89" s="4">
        <v>2</v>
      </c>
      <c r="H89" s="4" t="str">
        <v>north west</v>
      </c>
      <c r="I89" s="4" t="str">
        <v>company_a</v>
      </c>
      <c r="K89" s="13">
        <v>76</v>
      </c>
      <c r="L89" s="13">
        <v>4485390.7090406884</v>
      </c>
      <c r="M89" s="13">
        <v>1536129.7663509136</v>
      </c>
      <c r="N89" s="13">
        <v>5419403.3322576545</v>
      </c>
      <c r="O89" s="10"/>
      <c r="P89" s="13">
        <f t="shared" si="7"/>
        <v>453059.84546215832</v>
      </c>
      <c r="Q89" s="13">
        <f t="shared" si="12"/>
        <v>175147.8162216139</v>
      </c>
      <c r="R89" s="13">
        <f t="shared" si="8"/>
        <v>560531.77915861458</v>
      </c>
      <c r="S89" s="11"/>
      <c r="T89" s="13" cm="1">
        <f t="array" ref="T89">_xlfn.IFS($G89="__overall__",
SUMIFS(PremRes!$G$8:$G$208,PremRes!$B$8:$B$208,$G89,PremRes!$C$8:$C$208,$H89,PremRes!$F$8:$F$208,$I89,PremRes!$D$8:$D$208,T$12),
TRUE,
SUMIFS(PremRes!$G$8:$G$208,PremRes!$B$8:$B$208,"level_"&amp;$G89,PremRes!$C$8:$C$208,$H89,PremRes!$F$8:$F$208,$I89,PremRes!$D$8:$D$208,T$12))</f>
        <v>453059.84546215832</v>
      </c>
      <c r="U89" s="13" cm="1">
        <f t="array" ref="U89">_xlfn.IFS($G89="__overall__",
SUMIFS(PremRes!$G$8:$G$208,PremRes!$B$8:$B$208,$G89,PremRes!$C$8:$C$208,$H89,PremRes!$F$8:$F$208,$I89,PremRes!$D$8:$D$208,U$12),
TRUE,
SUMIFS(PremRes!$G$8:$G$208,PremRes!$B$8:$B$208,"level_"&amp;$G89,PremRes!$C$8:$C$208,$H89,PremRes!$F$8:$F$208,$I89,PremRes!$D$8:$D$208,U$12))</f>
        <v>175147.81622161414</v>
      </c>
      <c r="V89" s="13" cm="1">
        <f t="array" ref="V89">_xlfn.IFS($G89="__overall__",
SUMIFS(PremRes!$G$8:$G$208,PremRes!$B$8:$B$208,$G89,PremRes!$C$8:$C$208,$H89,PremRes!$F$8:$F$208,$I89,PremRes!$D$8:$D$208,V$12),
TRUE,
SUMIFS(PremRes!$G$8:$G$208,PremRes!$B$8:$B$208,"level_"&amp;$G89,PremRes!$C$8:$C$208,$H89,PremRes!$F$8:$F$208,$I89,PremRes!$D$8:$D$208,V$12))</f>
        <v>560531.77915861458</v>
      </c>
      <c r="X89" s="101">
        <f t="shared" si="11"/>
        <v>0</v>
      </c>
      <c r="Y89" s="101">
        <f t="shared" si="9"/>
        <v>-2.3283064365386963E-10</v>
      </c>
      <c r="Z89" s="101">
        <f t="shared" si="10"/>
        <v>0</v>
      </c>
    </row>
    <row r="90" spans="6:26">
      <c r="F90" s="4">
        <v>77</v>
      </c>
      <c r="G90" s="4">
        <v>2</v>
      </c>
      <c r="H90" s="4" t="str">
        <v>north west</v>
      </c>
      <c r="I90" s="4" t="str">
        <v>company_b</v>
      </c>
      <c r="K90" s="13">
        <v>77</v>
      </c>
      <c r="L90" s="13">
        <v>4391706.6383695472</v>
      </c>
      <c r="M90" s="13">
        <v>1499974.7522985856</v>
      </c>
      <c r="N90" s="13">
        <v>5303577.8708244124</v>
      </c>
      <c r="O90" s="10"/>
      <c r="P90" s="13">
        <f t="shared" si="7"/>
        <v>359375.77479101717</v>
      </c>
      <c r="Q90" s="13">
        <f t="shared" si="12"/>
        <v>138992.80216928595</v>
      </c>
      <c r="R90" s="13">
        <f t="shared" si="8"/>
        <v>444706.3177253725</v>
      </c>
      <c r="S90" s="11"/>
      <c r="T90" s="13" cm="1">
        <f t="array" ref="T90">_xlfn.IFS($G90="__overall__",
SUMIFS(PremRes!$G$8:$G$208,PremRes!$B$8:$B$208,$G90,PremRes!$C$8:$C$208,$H90,PremRes!$F$8:$F$208,$I90,PremRes!$D$8:$D$208,T$12),
TRUE,
SUMIFS(PremRes!$G$8:$G$208,PremRes!$B$8:$B$208,"level_"&amp;$G90,PremRes!$C$8:$C$208,$H90,PremRes!$F$8:$F$208,$I90,PremRes!$D$8:$D$208,T$12))</f>
        <v>359375.77479101717</v>
      </c>
      <c r="U90" s="13" cm="1">
        <f t="array" ref="U90">_xlfn.IFS($G90="__overall__",
SUMIFS(PremRes!$G$8:$G$208,PremRes!$B$8:$B$208,$G90,PremRes!$C$8:$C$208,$H90,PremRes!$F$8:$F$208,$I90,PremRes!$D$8:$D$208,U$12),
TRUE,
SUMIFS(PremRes!$G$8:$G$208,PremRes!$B$8:$B$208,"level_"&amp;$G90,PremRes!$C$8:$C$208,$H90,PremRes!$F$8:$F$208,$I90,PremRes!$D$8:$D$208,U$12))</f>
        <v>138992.80216928618</v>
      </c>
      <c r="V90" s="13" cm="1">
        <f t="array" ref="V90">_xlfn.IFS($G90="__overall__",
SUMIFS(PremRes!$G$8:$G$208,PremRes!$B$8:$B$208,$G90,PremRes!$C$8:$C$208,$H90,PremRes!$F$8:$F$208,$I90,PremRes!$D$8:$D$208,V$12),
TRUE,
SUMIFS(PremRes!$G$8:$G$208,PremRes!$B$8:$B$208,"level_"&amp;$G90,PremRes!$C$8:$C$208,$H90,PremRes!$F$8:$F$208,$I90,PremRes!$D$8:$D$208,V$12))</f>
        <v>444706.31772537157</v>
      </c>
      <c r="X90" s="101">
        <f t="shared" si="11"/>
        <v>0</v>
      </c>
      <c r="Y90" s="101">
        <f t="shared" si="9"/>
        <v>-2.3283064365386963E-10</v>
      </c>
      <c r="Z90" s="101">
        <f t="shared" si="10"/>
        <v>9.3132257461547852E-10</v>
      </c>
    </row>
    <row r="91" spans="6:26">
      <c r="F91" s="4">
        <v>78</v>
      </c>
      <c r="G91" s="4">
        <v>2</v>
      </c>
      <c r="H91" s="4" t="str">
        <v>north west</v>
      </c>
      <c r="I91" s="4" t="str">
        <v>company_c</v>
      </c>
      <c r="K91" s="13">
        <v>78</v>
      </c>
      <c r="L91" s="13">
        <v>4032330.86357853</v>
      </c>
      <c r="M91" s="13">
        <v>1360981.9501292997</v>
      </c>
      <c r="N91" s="13">
        <v>4858871.5530990399</v>
      </c>
      <c r="O91" s="10"/>
      <c r="P91" s="13">
        <f t="shared" si="7"/>
        <v>0</v>
      </c>
      <c r="Q91" s="13">
        <f t="shared" si="12"/>
        <v>0</v>
      </c>
      <c r="R91" s="13">
        <f t="shared" si="8"/>
        <v>0</v>
      </c>
      <c r="S91" s="11"/>
      <c r="T91" s="13" cm="1">
        <f t="array" ref="T91">_xlfn.IFS($G91="__overall__",
SUMIFS(PremRes!$G$8:$G$208,PremRes!$B$8:$B$208,$G91,PremRes!$C$8:$C$208,$H91,PremRes!$F$8:$F$208,$I91,PremRes!$D$8:$D$208,T$12),
TRUE,
SUMIFS(PremRes!$G$8:$G$208,PremRes!$B$8:$B$208,"level_"&amp;$G91,PremRes!$C$8:$C$208,$H91,PremRes!$F$8:$F$208,$I91,PremRes!$D$8:$D$208,T$12))</f>
        <v>0</v>
      </c>
      <c r="U91" s="13" cm="1">
        <f t="array" ref="U91">_xlfn.IFS($G91="__overall__",
SUMIFS(PremRes!$G$8:$G$208,PremRes!$B$8:$B$208,$G91,PremRes!$C$8:$C$208,$H91,PremRes!$F$8:$F$208,$I91,PremRes!$D$8:$D$208,U$12),
TRUE,
SUMIFS(PremRes!$G$8:$G$208,PremRes!$B$8:$B$208,"level_"&amp;$G91,PremRes!$C$8:$C$208,$H91,PremRes!$F$8:$F$208,$I91,PremRes!$D$8:$D$208,U$12))</f>
        <v>0</v>
      </c>
      <c r="V91" s="13" cm="1">
        <f t="array" ref="V91">_xlfn.IFS($G91="__overall__",
SUMIFS(PremRes!$G$8:$G$208,PremRes!$B$8:$B$208,$G91,PremRes!$C$8:$C$208,$H91,PremRes!$F$8:$F$208,$I91,PremRes!$D$8:$D$208,V$12),
TRUE,
SUMIFS(PremRes!$G$8:$G$208,PremRes!$B$8:$B$208,"level_"&amp;$G91,PremRes!$C$8:$C$208,$H91,PremRes!$F$8:$F$208,$I91,PremRes!$D$8:$D$208,V$12))</f>
        <v>0</v>
      </c>
      <c r="X91" s="101">
        <f t="shared" si="11"/>
        <v>0</v>
      </c>
      <c r="Y91" s="101">
        <f t="shared" si="9"/>
        <v>0</v>
      </c>
      <c r="Z91" s="101">
        <f t="shared" si="10"/>
        <v>0</v>
      </c>
    </row>
    <row r="92" spans="6:26">
      <c r="F92" s="4">
        <v>79</v>
      </c>
      <c r="G92" s="4">
        <v>2</v>
      </c>
      <c r="H92" s="4" t="str">
        <v>north west</v>
      </c>
      <c r="I92" s="4" t="str">
        <v>company_d</v>
      </c>
      <c r="K92" s="13">
        <v>79</v>
      </c>
      <c r="L92" s="13">
        <v>4032330.86357853</v>
      </c>
      <c r="M92" s="13">
        <v>1360981.9501292997</v>
      </c>
      <c r="N92" s="13">
        <v>4858871.5530990399</v>
      </c>
      <c r="O92" s="10"/>
      <c r="P92" s="13">
        <f t="shared" si="7"/>
        <v>0</v>
      </c>
      <c r="Q92" s="13">
        <f t="shared" si="12"/>
        <v>0</v>
      </c>
      <c r="R92" s="13">
        <f t="shared" si="8"/>
        <v>0</v>
      </c>
      <c r="S92" s="11"/>
      <c r="T92" s="13" cm="1">
        <f t="array" ref="T92">_xlfn.IFS($G92="__overall__",
SUMIFS(PremRes!$G$8:$G$208,PremRes!$B$8:$B$208,$G92,PremRes!$C$8:$C$208,$H92,PremRes!$F$8:$F$208,$I92,PremRes!$D$8:$D$208,T$12),
TRUE,
SUMIFS(PremRes!$G$8:$G$208,PremRes!$B$8:$B$208,"level_"&amp;$G92,PremRes!$C$8:$C$208,$H92,PremRes!$F$8:$F$208,$I92,PremRes!$D$8:$D$208,T$12))</f>
        <v>0</v>
      </c>
      <c r="U92" s="13" cm="1">
        <f t="array" ref="U92">_xlfn.IFS($G92="__overall__",
SUMIFS(PremRes!$G$8:$G$208,PremRes!$B$8:$B$208,$G92,PremRes!$C$8:$C$208,$H92,PremRes!$F$8:$F$208,$I92,PremRes!$D$8:$D$208,U$12),
TRUE,
SUMIFS(PremRes!$G$8:$G$208,PremRes!$B$8:$B$208,"level_"&amp;$G92,PremRes!$C$8:$C$208,$H92,PremRes!$F$8:$F$208,$I92,PremRes!$D$8:$D$208,U$12))</f>
        <v>0</v>
      </c>
      <c r="V92" s="13" cm="1">
        <f t="array" ref="V92">_xlfn.IFS($G92="__overall__",
SUMIFS(PremRes!$G$8:$G$208,PremRes!$B$8:$B$208,$G92,PremRes!$C$8:$C$208,$H92,PremRes!$F$8:$F$208,$I92,PremRes!$D$8:$D$208,V$12),
TRUE,
SUMIFS(PremRes!$G$8:$G$208,PremRes!$B$8:$B$208,"level_"&amp;$G92,PremRes!$C$8:$C$208,$H92,PremRes!$F$8:$F$208,$I92,PremRes!$D$8:$D$208,V$12))</f>
        <v>0</v>
      </c>
      <c r="X92" s="101">
        <f t="shared" si="11"/>
        <v>0</v>
      </c>
      <c r="Y92" s="101">
        <f t="shared" si="9"/>
        <v>0</v>
      </c>
      <c r="Z92" s="101">
        <f t="shared" si="10"/>
        <v>0</v>
      </c>
    </row>
    <row r="93" spans="6:26">
      <c r="F93" s="4">
        <v>80</v>
      </c>
      <c r="G93" s="4">
        <v>2</v>
      </c>
      <c r="H93" s="4" t="str">
        <v>north west</v>
      </c>
      <c r="I93" s="4" t="str">
        <v>company_e</v>
      </c>
      <c r="K93" s="13">
        <v>80</v>
      </c>
      <c r="L93" s="13">
        <v>4032330.86357853</v>
      </c>
      <c r="M93" s="13">
        <v>1360981.9501292997</v>
      </c>
      <c r="N93" s="13">
        <v>4858871.5530990399</v>
      </c>
      <c r="O93" s="10"/>
      <c r="P93" s="13">
        <f t="shared" si="7"/>
        <v>0</v>
      </c>
      <c r="Q93" s="13">
        <f t="shared" si="12"/>
        <v>0</v>
      </c>
      <c r="R93" s="13">
        <f t="shared" si="8"/>
        <v>0</v>
      </c>
      <c r="S93" s="11"/>
      <c r="T93" s="13" cm="1">
        <f t="array" ref="T93">_xlfn.IFS($G93="__overall__",
SUMIFS(PremRes!$G$8:$G$208,PremRes!$B$8:$B$208,$G93,PremRes!$C$8:$C$208,$H93,PremRes!$F$8:$F$208,$I93,PremRes!$D$8:$D$208,T$12),
TRUE,
SUMIFS(PremRes!$G$8:$G$208,PremRes!$B$8:$B$208,"level_"&amp;$G93,PremRes!$C$8:$C$208,$H93,PremRes!$F$8:$F$208,$I93,PremRes!$D$8:$D$208,T$12))</f>
        <v>0</v>
      </c>
      <c r="U93" s="13" cm="1">
        <f t="array" ref="U93">_xlfn.IFS($G93="__overall__",
SUMIFS(PremRes!$G$8:$G$208,PremRes!$B$8:$B$208,$G93,PremRes!$C$8:$C$208,$H93,PremRes!$F$8:$F$208,$I93,PremRes!$D$8:$D$208,U$12),
TRUE,
SUMIFS(PremRes!$G$8:$G$208,PremRes!$B$8:$B$208,"level_"&amp;$G93,PremRes!$C$8:$C$208,$H93,PremRes!$F$8:$F$208,$I93,PremRes!$D$8:$D$208,U$12))</f>
        <v>0</v>
      </c>
      <c r="V93" s="13" cm="1">
        <f t="array" ref="V93">_xlfn.IFS($G93="__overall__",
SUMIFS(PremRes!$G$8:$G$208,PremRes!$B$8:$B$208,$G93,PremRes!$C$8:$C$208,$H93,PremRes!$F$8:$F$208,$I93,PremRes!$D$8:$D$208,V$12),
TRUE,
SUMIFS(PremRes!$G$8:$G$208,PremRes!$B$8:$B$208,"level_"&amp;$G93,PremRes!$C$8:$C$208,$H93,PremRes!$F$8:$F$208,$I93,PremRes!$D$8:$D$208,V$12))</f>
        <v>0</v>
      </c>
      <c r="X93" s="101">
        <f t="shared" si="11"/>
        <v>0</v>
      </c>
      <c r="Y93" s="101">
        <f t="shared" si="9"/>
        <v>0</v>
      </c>
      <c r="Z93" s="101">
        <f t="shared" si="10"/>
        <v>0</v>
      </c>
    </row>
    <row r="94" spans="6:26">
      <c r="F94" s="4">
        <v>81</v>
      </c>
      <c r="G94" s="4">
        <v>2</v>
      </c>
      <c r="H94" s="4" t="str">
        <v>north west</v>
      </c>
      <c r="I94" s="4" t="str">
        <v>company_g</v>
      </c>
      <c r="K94" s="13">
        <v>81</v>
      </c>
      <c r="L94" s="13">
        <v>4032330.86357853</v>
      </c>
      <c r="M94" s="13">
        <v>1360981.9501292997</v>
      </c>
      <c r="N94" s="13">
        <v>4858871.5530990399</v>
      </c>
      <c r="O94" s="10"/>
      <c r="P94" s="13">
        <f t="shared" si="7"/>
        <v>0</v>
      </c>
      <c r="Q94" s="13">
        <f t="shared" si="12"/>
        <v>0</v>
      </c>
      <c r="R94" s="13">
        <f t="shared" si="8"/>
        <v>0</v>
      </c>
      <c r="S94" s="11"/>
      <c r="T94" s="13" cm="1">
        <f t="array" ref="T94">_xlfn.IFS($G94="__overall__",
SUMIFS(PremRes!$G$8:$G$208,PremRes!$B$8:$B$208,$G94,PremRes!$C$8:$C$208,$H94,PremRes!$F$8:$F$208,$I94,PremRes!$D$8:$D$208,T$12),
TRUE,
SUMIFS(PremRes!$G$8:$G$208,PremRes!$B$8:$B$208,"level_"&amp;$G94,PremRes!$C$8:$C$208,$H94,PremRes!$F$8:$F$208,$I94,PremRes!$D$8:$D$208,T$12))</f>
        <v>0</v>
      </c>
      <c r="U94" s="13" cm="1">
        <f t="array" ref="U94">_xlfn.IFS($G94="__overall__",
SUMIFS(PremRes!$G$8:$G$208,PremRes!$B$8:$B$208,$G94,PremRes!$C$8:$C$208,$H94,PremRes!$F$8:$F$208,$I94,PremRes!$D$8:$D$208,U$12),
TRUE,
SUMIFS(PremRes!$G$8:$G$208,PremRes!$B$8:$B$208,"level_"&amp;$G94,PremRes!$C$8:$C$208,$H94,PremRes!$F$8:$F$208,$I94,PremRes!$D$8:$D$208,U$12))</f>
        <v>0</v>
      </c>
      <c r="V94" s="13" cm="1">
        <f t="array" ref="V94">_xlfn.IFS($G94="__overall__",
SUMIFS(PremRes!$G$8:$G$208,PremRes!$B$8:$B$208,$G94,PremRes!$C$8:$C$208,$H94,PremRes!$F$8:$F$208,$I94,PremRes!$D$8:$D$208,V$12),
TRUE,
SUMIFS(PremRes!$G$8:$G$208,PremRes!$B$8:$B$208,"level_"&amp;$G94,PremRes!$C$8:$C$208,$H94,PremRes!$F$8:$F$208,$I94,PremRes!$D$8:$D$208,V$12))</f>
        <v>0</v>
      </c>
      <c r="X94" s="101">
        <f t="shared" si="11"/>
        <v>0</v>
      </c>
      <c r="Y94" s="101">
        <f t="shared" si="9"/>
        <v>0</v>
      </c>
      <c r="Z94" s="101">
        <f t="shared" si="10"/>
        <v>0</v>
      </c>
    </row>
    <row r="95" spans="6:26">
      <c r="F95" s="4">
        <v>82</v>
      </c>
      <c r="G95" s="4">
        <v>2</v>
      </c>
      <c r="H95" s="4" t="str">
        <v>northern cape</v>
      </c>
      <c r="I95" s="4" t="str">
        <v>gross charge</v>
      </c>
      <c r="K95" s="13">
        <v>82</v>
      </c>
      <c r="L95" s="13">
        <v>4348944.7316447366</v>
      </c>
      <c r="M95" s="13">
        <v>1694783.402692073</v>
      </c>
      <c r="N95" s="13">
        <v>5393818.6767365318</v>
      </c>
      <c r="O95" s="10"/>
      <c r="P95" s="13">
        <f t="shared" si="7"/>
        <v>4348944.7316447366</v>
      </c>
      <c r="Q95" s="13">
        <f t="shared" si="12"/>
        <v>1694783.402692073</v>
      </c>
      <c r="R95" s="13">
        <f t="shared" si="8"/>
        <v>5393818.6767365318</v>
      </c>
      <c r="S95" s="11"/>
      <c r="T95" s="13" cm="1">
        <f t="array" ref="T95">_xlfn.IFS($G95="__overall__",
SUMIFS(PremRes!$G$8:$G$208,PremRes!$B$8:$B$208,$G95,PremRes!$C$8:$C$208,$H95,PremRes!$F$8:$F$208,$I95,PremRes!$D$8:$D$208,T$12),
TRUE,
SUMIFS(PremRes!$G$8:$G$208,PremRes!$B$8:$B$208,"level_"&amp;$G95,PremRes!$C$8:$C$208,$H95,PremRes!$F$8:$F$208,$I95,PremRes!$D$8:$D$208,T$12))</f>
        <v>4348944.7316447366</v>
      </c>
      <c r="U95" s="13" cm="1">
        <f t="array" ref="U95">_xlfn.IFS($G95="__overall__",
SUMIFS(PremRes!$G$8:$G$208,PremRes!$B$8:$B$208,$G95,PremRes!$C$8:$C$208,$H95,PremRes!$F$8:$F$208,$I95,PremRes!$D$8:$D$208,U$12),
TRUE,
SUMIFS(PremRes!$G$8:$G$208,PremRes!$B$8:$B$208,"level_"&amp;$G95,PremRes!$C$8:$C$208,$H95,PremRes!$F$8:$F$208,$I95,PremRes!$D$8:$D$208,U$12))</f>
        <v>1694783.402692073</v>
      </c>
      <c r="V95" s="13" cm="1">
        <f t="array" ref="V95">_xlfn.IFS($G95="__overall__",
SUMIFS(PremRes!$G$8:$G$208,PremRes!$B$8:$B$208,$G95,PremRes!$C$8:$C$208,$H95,PremRes!$F$8:$F$208,$I95,PremRes!$D$8:$D$208,V$12),
TRUE,
SUMIFS(PremRes!$G$8:$G$208,PremRes!$B$8:$B$208,"level_"&amp;$G95,PremRes!$C$8:$C$208,$H95,PremRes!$F$8:$F$208,$I95,PremRes!$D$8:$D$208,V$12))</f>
        <v>5393818.6767365318</v>
      </c>
      <c r="X95" s="101">
        <f t="shared" si="11"/>
        <v>0</v>
      </c>
      <c r="Y95" s="101">
        <f t="shared" si="9"/>
        <v>0</v>
      </c>
      <c r="Z95" s="101">
        <f t="shared" si="10"/>
        <v>0</v>
      </c>
    </row>
    <row r="96" spans="6:26">
      <c r="F96" s="4">
        <v>83</v>
      </c>
      <c r="G96" s="4">
        <v>2</v>
      </c>
      <c r="H96" s="4" t="str">
        <v>northern cape</v>
      </c>
      <c r="I96" s="4" t="str">
        <v>net charge</v>
      </c>
      <c r="K96" s="13">
        <v>83</v>
      </c>
      <c r="L96" s="13">
        <v>4068390.9801884196</v>
      </c>
      <c r="M96" s="13">
        <v>1630385.5219585011</v>
      </c>
      <c r="N96" s="13">
        <v>5077017.9014536133</v>
      </c>
      <c r="O96" s="10"/>
      <c r="P96" s="13">
        <f t="shared" si="7"/>
        <v>4068390.9801884196</v>
      </c>
      <c r="Q96" s="13">
        <f t="shared" si="12"/>
        <v>1630385.5219585011</v>
      </c>
      <c r="R96" s="13">
        <f t="shared" si="8"/>
        <v>5077017.9014536133</v>
      </c>
      <c r="S96" s="11"/>
      <c r="T96" s="13" cm="1">
        <f t="array" ref="T96">_xlfn.IFS($G96="__overall__",
SUMIFS(PremRes!$G$8:$G$208,PremRes!$B$8:$B$208,$G96,PremRes!$C$8:$C$208,$H96,PremRes!$F$8:$F$208,$I96,PremRes!$D$8:$D$208,T$12),
TRUE,
SUMIFS(PremRes!$G$8:$G$208,PremRes!$B$8:$B$208,"level_"&amp;$G96,PremRes!$C$8:$C$208,$H96,PremRes!$F$8:$F$208,$I96,PremRes!$D$8:$D$208,T$12))</f>
        <v>4068390.9801884196</v>
      </c>
      <c r="U96" s="13" cm="1">
        <f t="array" ref="U96">_xlfn.IFS($G96="__overall__",
SUMIFS(PremRes!$G$8:$G$208,PremRes!$B$8:$B$208,$G96,PremRes!$C$8:$C$208,$H96,PremRes!$F$8:$F$208,$I96,PremRes!$D$8:$D$208,U$12),
TRUE,
SUMIFS(PremRes!$G$8:$G$208,PremRes!$B$8:$B$208,"level_"&amp;$G96,PremRes!$C$8:$C$208,$H96,PremRes!$F$8:$F$208,$I96,PremRes!$D$8:$D$208,U$12))</f>
        <v>1630385.5219585015</v>
      </c>
      <c r="V96" s="13" cm="1">
        <f t="array" ref="V96">_xlfn.IFS($G96="__overall__",
SUMIFS(PremRes!$G$8:$G$208,PremRes!$B$8:$B$208,$G96,PremRes!$C$8:$C$208,$H96,PremRes!$F$8:$F$208,$I96,PremRes!$D$8:$D$208,V$12),
TRUE,
SUMIFS(PremRes!$G$8:$G$208,PremRes!$B$8:$B$208,"level_"&amp;$G96,PremRes!$C$8:$C$208,$H96,PremRes!$F$8:$F$208,$I96,PremRes!$D$8:$D$208,V$12))</f>
        <v>5077017.9014536142</v>
      </c>
      <c r="X96" s="101">
        <f t="shared" si="11"/>
        <v>0</v>
      </c>
      <c r="Y96" s="101">
        <f t="shared" si="9"/>
        <v>0</v>
      </c>
      <c r="Z96" s="101">
        <f t="shared" si="10"/>
        <v>0</v>
      </c>
    </row>
    <row r="97" spans="6:26">
      <c r="F97" s="4">
        <v>84</v>
      </c>
      <c r="G97" s="4">
        <v>2</v>
      </c>
      <c r="H97" s="4" t="str">
        <v>northern cape</v>
      </c>
      <c r="I97" s="4" t="str">
        <v>calculated net charge</v>
      </c>
      <c r="K97" s="13">
        <v>84</v>
      </c>
      <c r="L97" s="13">
        <v>4025146.1763260402</v>
      </c>
      <c r="M97" s="13">
        <v>1636426.4653383472</v>
      </c>
      <c r="N97" s="13">
        <v>5040891.1339115528</v>
      </c>
      <c r="O97" s="10"/>
      <c r="P97" s="13">
        <f t="shared" si="7"/>
        <v>4025146.1763260402</v>
      </c>
      <c r="Q97" s="13">
        <f t="shared" si="12"/>
        <v>1636426.4653383472</v>
      </c>
      <c r="R97" s="13">
        <f t="shared" si="8"/>
        <v>5040891.1339115528</v>
      </c>
      <c r="S97" s="11"/>
      <c r="T97" s="13" cm="1">
        <f t="array" ref="T97">_xlfn.IFS($G97="__overall__",
SUMIFS(PremRes!$G$8:$G$208,PremRes!$B$8:$B$208,$G97,PremRes!$C$8:$C$208,$H97,PremRes!$F$8:$F$208,$I97,PremRes!$D$8:$D$208,T$12),
TRUE,
SUMIFS(PremRes!$G$8:$G$208,PremRes!$B$8:$B$208,"level_"&amp;$G97,PremRes!$C$8:$C$208,$H97,PremRes!$F$8:$F$208,$I97,PremRes!$D$8:$D$208,T$12))</f>
        <v>4025146.1763260402</v>
      </c>
      <c r="U97" s="13" cm="1">
        <f t="array" ref="U97">_xlfn.IFS($G97="__overall__",
SUMIFS(PremRes!$G$8:$G$208,PremRes!$B$8:$B$208,$G97,PremRes!$C$8:$C$208,$H97,PremRes!$F$8:$F$208,$I97,PremRes!$D$8:$D$208,U$12),
TRUE,
SUMIFS(PremRes!$G$8:$G$208,PremRes!$B$8:$B$208,"level_"&amp;$G97,PremRes!$C$8:$C$208,$H97,PremRes!$F$8:$F$208,$I97,PremRes!$D$8:$D$208,U$12))</f>
        <v>1636426.4653383472</v>
      </c>
      <c r="V97" s="13" cm="1">
        <f t="array" ref="V97">_xlfn.IFS($G97="__overall__",
SUMIFS(PremRes!$G$8:$G$208,PremRes!$B$8:$B$208,$G97,PremRes!$C$8:$C$208,$H97,PremRes!$F$8:$F$208,$I97,PremRes!$D$8:$D$208,V$12),
TRUE,
SUMIFS(PremRes!$G$8:$G$208,PremRes!$B$8:$B$208,"level_"&amp;$G97,PremRes!$C$8:$C$208,$H97,PremRes!$F$8:$F$208,$I97,PremRes!$D$8:$D$208,V$12))</f>
        <v>5040891.1339115528</v>
      </c>
      <c r="X97" s="101">
        <f t="shared" si="11"/>
        <v>0</v>
      </c>
      <c r="Y97" s="101">
        <f t="shared" si="9"/>
        <v>0</v>
      </c>
      <c r="Z97" s="101">
        <f t="shared" si="10"/>
        <v>0</v>
      </c>
    </row>
    <row r="98" spans="6:26">
      <c r="F98" s="4">
        <v>85</v>
      </c>
      <c r="G98" s="4">
        <v>2</v>
      </c>
      <c r="H98" s="4" t="str">
        <v>northern cape</v>
      </c>
      <c r="I98" s="4" t="str">
        <v>company_a</v>
      </c>
      <c r="K98" s="4">
        <v>85</v>
      </c>
      <c r="L98" s="13">
        <v>4198334.1690741749</v>
      </c>
      <c r="M98" s="13">
        <v>1667980.984348763</v>
      </c>
      <c r="N98" s="13">
        <v>5230018.5135298241</v>
      </c>
      <c r="O98" s="10"/>
      <c r="P98" s="13">
        <f t="shared" si="7"/>
        <v>173187.99274813477</v>
      </c>
      <c r="Q98" s="13">
        <f t="shared" si="12"/>
        <v>31554.519010415766</v>
      </c>
      <c r="R98" s="13">
        <f t="shared" si="8"/>
        <v>189127.37961827125</v>
      </c>
      <c r="S98" s="11"/>
      <c r="T98" s="13" cm="1">
        <f t="array" ref="T98">_xlfn.IFS($G98="__overall__",
SUMIFS(PremRes!$G$8:$G$208,PremRes!$B$8:$B$208,$G98,PremRes!$C$8:$C$208,$H98,PremRes!$F$8:$F$208,$I98,PremRes!$D$8:$D$208,T$12),
TRUE,
SUMIFS(PremRes!$G$8:$G$208,PremRes!$B$8:$B$208,"level_"&amp;$G98,PremRes!$C$8:$C$208,$H98,PremRes!$F$8:$F$208,$I98,PremRes!$D$8:$D$208,T$12))</f>
        <v>173187.99274813477</v>
      </c>
      <c r="U98" s="13" cm="1">
        <f t="array" ref="U98">_xlfn.IFS($G98="__overall__",
SUMIFS(PremRes!$G$8:$G$208,PremRes!$B$8:$B$208,$G98,PremRes!$C$8:$C$208,$H98,PremRes!$F$8:$F$208,$I98,PremRes!$D$8:$D$208,U$12),
TRUE,
SUMIFS(PremRes!$G$8:$G$208,PremRes!$B$8:$B$208,"level_"&amp;$G98,PremRes!$C$8:$C$208,$H98,PremRes!$F$8:$F$208,$I98,PremRes!$D$8:$D$208,U$12))</f>
        <v>31554.519010415766</v>
      </c>
      <c r="V98" s="13" cm="1">
        <f t="array" ref="V98">_xlfn.IFS($G98="__overall__",
SUMIFS(PremRes!$G$8:$G$208,PremRes!$B$8:$B$208,$G98,PremRes!$C$8:$C$208,$H98,PremRes!$F$8:$F$208,$I98,PremRes!$D$8:$D$208,V$12),
TRUE,
SUMIFS(PremRes!$G$8:$G$208,PremRes!$B$8:$B$208,"level_"&amp;$G98,PremRes!$C$8:$C$208,$H98,PremRes!$F$8:$F$208,$I98,PremRes!$D$8:$D$208,V$12))</f>
        <v>189127.37961827125</v>
      </c>
      <c r="X98" s="101">
        <f t="shared" si="11"/>
        <v>0</v>
      </c>
      <c r="Y98" s="101">
        <f t="shared" si="9"/>
        <v>0</v>
      </c>
      <c r="Z98" s="101">
        <f t="shared" si="10"/>
        <v>0</v>
      </c>
    </row>
    <row r="99" spans="6:26">
      <c r="F99" s="4">
        <v>86</v>
      </c>
      <c r="G99" s="4">
        <v>2</v>
      </c>
      <c r="H99" s="4" t="str">
        <v>northern cape</v>
      </c>
      <c r="I99" s="4" t="str">
        <v>company_b</v>
      </c>
      <c r="K99" s="4">
        <v>86</v>
      </c>
      <c r="L99" s="13">
        <v>4162298.6386909038</v>
      </c>
      <c r="M99" s="13">
        <v>1661493.5005644388</v>
      </c>
      <c r="N99" s="13">
        <v>5190751.8870178955</v>
      </c>
      <c r="O99" s="10"/>
      <c r="P99" s="13">
        <f t="shared" si="7"/>
        <v>137152.4623648636</v>
      </c>
      <c r="Q99" s="13">
        <f t="shared" si="12"/>
        <v>25067.03522609151</v>
      </c>
      <c r="R99" s="13">
        <f t="shared" si="8"/>
        <v>149860.75310634263</v>
      </c>
      <c r="S99" s="11"/>
      <c r="T99" s="13" cm="1">
        <f t="array" ref="T99">_xlfn.IFS($G99="__overall__",
SUMIFS(PremRes!$G$8:$G$208,PremRes!$B$8:$B$208,$G99,PremRes!$C$8:$C$208,$H99,PremRes!$F$8:$F$208,$I99,PremRes!$D$8:$D$208,T$12),
TRUE,
SUMIFS(PremRes!$G$8:$G$208,PremRes!$B$8:$B$208,"level_"&amp;$G99,PremRes!$C$8:$C$208,$H99,PremRes!$F$8:$F$208,$I99,PremRes!$D$8:$D$208,T$12))</f>
        <v>137152.4623648636</v>
      </c>
      <c r="U99" s="13" cm="1">
        <f t="array" ref="U99">_xlfn.IFS($G99="__overall__",
SUMIFS(PremRes!$G$8:$G$208,PremRes!$B$8:$B$208,$G99,PremRes!$C$8:$C$208,$H99,PremRes!$F$8:$F$208,$I99,PremRes!$D$8:$D$208,U$12),
TRUE,
SUMIFS(PremRes!$G$8:$G$208,PremRes!$B$8:$B$208,"level_"&amp;$G99,PremRes!$C$8:$C$208,$H99,PremRes!$F$8:$F$208,$I99,PremRes!$D$8:$D$208,U$12))</f>
        <v>25067.03522609151</v>
      </c>
      <c r="V99" s="13" cm="1">
        <f t="array" ref="V99">_xlfn.IFS($G99="__overall__",
SUMIFS(PremRes!$G$8:$G$208,PremRes!$B$8:$B$208,$G99,PremRes!$C$8:$C$208,$H99,PremRes!$F$8:$F$208,$I99,PremRes!$D$8:$D$208,V$12),
TRUE,
SUMIFS(PremRes!$G$8:$G$208,PremRes!$B$8:$B$208,"level_"&amp;$G99,PremRes!$C$8:$C$208,$H99,PremRes!$F$8:$F$208,$I99,PremRes!$D$8:$D$208,V$12))</f>
        <v>149860.75310634263</v>
      </c>
      <c r="X99" s="101">
        <f t="shared" si="11"/>
        <v>0</v>
      </c>
      <c r="Y99" s="101">
        <f t="shared" si="9"/>
        <v>0</v>
      </c>
      <c r="Z99" s="101">
        <f t="shared" si="10"/>
        <v>0</v>
      </c>
    </row>
    <row r="100" spans="6:26">
      <c r="F100" s="4">
        <v>87</v>
      </c>
      <c r="G100" s="4">
        <v>2</v>
      </c>
      <c r="H100" s="4" t="str">
        <v>northern cape</v>
      </c>
      <c r="I100" s="4" t="str">
        <v>company_c</v>
      </c>
      <c r="K100" s="4">
        <v>87</v>
      </c>
      <c r="L100" s="13">
        <v>4025146.1763260402</v>
      </c>
      <c r="M100" s="13">
        <v>1636426.4653383472</v>
      </c>
      <c r="N100" s="13">
        <v>5040891.1339115528</v>
      </c>
      <c r="O100" s="10"/>
      <c r="P100" s="13">
        <f t="shared" si="7"/>
        <v>0</v>
      </c>
      <c r="Q100" s="13">
        <f t="shared" si="12"/>
        <v>0</v>
      </c>
      <c r="R100" s="13">
        <f t="shared" si="8"/>
        <v>0</v>
      </c>
      <c r="S100" s="11"/>
      <c r="T100" s="13" cm="1">
        <f t="array" ref="T100">_xlfn.IFS($G100="__overall__",
SUMIFS(PremRes!$G$8:$G$208,PremRes!$B$8:$B$208,$G100,PremRes!$C$8:$C$208,$H100,PremRes!$F$8:$F$208,$I100,PremRes!$D$8:$D$208,T$12),
TRUE,
SUMIFS(PremRes!$G$8:$G$208,PremRes!$B$8:$B$208,"level_"&amp;$G100,PremRes!$C$8:$C$208,$H100,PremRes!$F$8:$F$208,$I100,PremRes!$D$8:$D$208,T$12))</f>
        <v>0</v>
      </c>
      <c r="U100" s="13" cm="1">
        <f t="array" ref="U100">_xlfn.IFS($G100="__overall__",
SUMIFS(PremRes!$G$8:$G$208,PremRes!$B$8:$B$208,$G100,PremRes!$C$8:$C$208,$H100,PremRes!$F$8:$F$208,$I100,PremRes!$D$8:$D$208,U$12),
TRUE,
SUMIFS(PremRes!$G$8:$G$208,PremRes!$B$8:$B$208,"level_"&amp;$G100,PremRes!$C$8:$C$208,$H100,PremRes!$F$8:$F$208,$I100,PremRes!$D$8:$D$208,U$12))</f>
        <v>0</v>
      </c>
      <c r="V100" s="13" cm="1">
        <f t="array" ref="V100">_xlfn.IFS($G100="__overall__",
SUMIFS(PremRes!$G$8:$G$208,PremRes!$B$8:$B$208,$G100,PremRes!$C$8:$C$208,$H100,PremRes!$F$8:$F$208,$I100,PremRes!$D$8:$D$208,V$12),
TRUE,
SUMIFS(PremRes!$G$8:$G$208,PremRes!$B$8:$B$208,"level_"&amp;$G100,PremRes!$C$8:$C$208,$H100,PremRes!$F$8:$F$208,$I100,PremRes!$D$8:$D$208,V$12))</f>
        <v>0</v>
      </c>
      <c r="X100" s="101">
        <f t="shared" si="11"/>
        <v>0</v>
      </c>
      <c r="Y100" s="101">
        <f t="shared" si="9"/>
        <v>0</v>
      </c>
      <c r="Z100" s="101">
        <f t="shared" si="10"/>
        <v>0</v>
      </c>
    </row>
    <row r="101" spans="6:26">
      <c r="F101" s="4">
        <v>88</v>
      </c>
      <c r="G101" s="4">
        <v>2</v>
      </c>
      <c r="H101" s="4" t="str">
        <v>northern cape</v>
      </c>
      <c r="I101" s="4" t="str">
        <v>company_d</v>
      </c>
      <c r="K101" s="4">
        <v>88</v>
      </c>
      <c r="L101" s="13">
        <v>4025146.1763260402</v>
      </c>
      <c r="M101" s="13">
        <v>1636426.4653383472</v>
      </c>
      <c r="N101" s="13">
        <v>5040891.1339115528</v>
      </c>
      <c r="O101" s="10"/>
      <c r="P101" s="13">
        <f t="shared" si="7"/>
        <v>0</v>
      </c>
      <c r="Q101" s="13">
        <f t="shared" si="12"/>
        <v>0</v>
      </c>
      <c r="R101" s="13">
        <f t="shared" si="8"/>
        <v>0</v>
      </c>
      <c r="S101" s="11"/>
      <c r="T101" s="13" cm="1">
        <f t="array" ref="T101">_xlfn.IFS($G101="__overall__",
SUMIFS(PremRes!$G$8:$G$208,PremRes!$B$8:$B$208,$G101,PremRes!$C$8:$C$208,$H101,PremRes!$F$8:$F$208,$I101,PremRes!$D$8:$D$208,T$12),
TRUE,
SUMIFS(PremRes!$G$8:$G$208,PremRes!$B$8:$B$208,"level_"&amp;$G101,PremRes!$C$8:$C$208,$H101,PremRes!$F$8:$F$208,$I101,PremRes!$D$8:$D$208,T$12))</f>
        <v>0</v>
      </c>
      <c r="U101" s="13" cm="1">
        <f t="array" ref="U101">_xlfn.IFS($G101="__overall__",
SUMIFS(PremRes!$G$8:$G$208,PremRes!$B$8:$B$208,$G101,PremRes!$C$8:$C$208,$H101,PremRes!$F$8:$F$208,$I101,PremRes!$D$8:$D$208,U$12),
TRUE,
SUMIFS(PremRes!$G$8:$G$208,PremRes!$B$8:$B$208,"level_"&amp;$G101,PremRes!$C$8:$C$208,$H101,PremRes!$F$8:$F$208,$I101,PremRes!$D$8:$D$208,U$12))</f>
        <v>0</v>
      </c>
      <c r="V101" s="13" cm="1">
        <f t="array" ref="V101">_xlfn.IFS($G101="__overall__",
SUMIFS(PremRes!$G$8:$G$208,PremRes!$B$8:$B$208,$G101,PremRes!$C$8:$C$208,$H101,PremRes!$F$8:$F$208,$I101,PremRes!$D$8:$D$208,V$12),
TRUE,
SUMIFS(PremRes!$G$8:$G$208,PremRes!$B$8:$B$208,"level_"&amp;$G101,PremRes!$C$8:$C$208,$H101,PremRes!$F$8:$F$208,$I101,PremRes!$D$8:$D$208,V$12))</f>
        <v>0</v>
      </c>
      <c r="X101" s="101">
        <f t="shared" si="11"/>
        <v>0</v>
      </c>
      <c r="Y101" s="101">
        <f t="shared" si="9"/>
        <v>0</v>
      </c>
      <c r="Z101" s="101">
        <f t="shared" si="10"/>
        <v>0</v>
      </c>
    </row>
    <row r="102" spans="6:26">
      <c r="F102" s="4">
        <v>89</v>
      </c>
      <c r="G102" s="4">
        <v>2</v>
      </c>
      <c r="H102" s="4" t="str">
        <v>northern cape</v>
      </c>
      <c r="I102" s="4" t="str">
        <v>company_e</v>
      </c>
      <c r="K102" s="4">
        <v>89</v>
      </c>
      <c r="L102" s="13">
        <v>4025146.1763260402</v>
      </c>
      <c r="M102" s="13">
        <v>1636426.4653383472</v>
      </c>
      <c r="N102" s="13">
        <v>5040891.1339115528</v>
      </c>
      <c r="O102" s="10"/>
      <c r="P102" s="13">
        <f t="shared" si="7"/>
        <v>0</v>
      </c>
      <c r="Q102" s="13">
        <f t="shared" si="12"/>
        <v>0</v>
      </c>
      <c r="R102" s="13">
        <f t="shared" si="8"/>
        <v>0</v>
      </c>
      <c r="S102" s="11"/>
      <c r="T102" s="13" cm="1">
        <f t="array" ref="T102">_xlfn.IFS($G102="__overall__",
SUMIFS(PremRes!$G$8:$G$208,PremRes!$B$8:$B$208,$G102,PremRes!$C$8:$C$208,$H102,PremRes!$F$8:$F$208,$I102,PremRes!$D$8:$D$208,T$12),
TRUE,
SUMIFS(PremRes!$G$8:$G$208,PremRes!$B$8:$B$208,"level_"&amp;$G102,PremRes!$C$8:$C$208,$H102,PremRes!$F$8:$F$208,$I102,PremRes!$D$8:$D$208,T$12))</f>
        <v>0</v>
      </c>
      <c r="U102" s="13" cm="1">
        <f t="array" ref="U102">_xlfn.IFS($G102="__overall__",
SUMIFS(PremRes!$G$8:$G$208,PremRes!$B$8:$B$208,$G102,PremRes!$C$8:$C$208,$H102,PremRes!$F$8:$F$208,$I102,PremRes!$D$8:$D$208,U$12),
TRUE,
SUMIFS(PremRes!$G$8:$G$208,PremRes!$B$8:$B$208,"level_"&amp;$G102,PremRes!$C$8:$C$208,$H102,PremRes!$F$8:$F$208,$I102,PremRes!$D$8:$D$208,U$12))</f>
        <v>0</v>
      </c>
      <c r="V102" s="13" cm="1">
        <f t="array" ref="V102">_xlfn.IFS($G102="__overall__",
SUMIFS(PremRes!$G$8:$G$208,PremRes!$B$8:$B$208,$G102,PremRes!$C$8:$C$208,$H102,PremRes!$F$8:$F$208,$I102,PremRes!$D$8:$D$208,V$12),
TRUE,
SUMIFS(PremRes!$G$8:$G$208,PremRes!$B$8:$B$208,"level_"&amp;$G102,PremRes!$C$8:$C$208,$H102,PremRes!$F$8:$F$208,$I102,PremRes!$D$8:$D$208,V$12))</f>
        <v>0</v>
      </c>
      <c r="X102" s="101">
        <f t="shared" si="11"/>
        <v>0</v>
      </c>
      <c r="Y102" s="101">
        <f t="shared" si="9"/>
        <v>0</v>
      </c>
      <c r="Z102" s="101">
        <f t="shared" si="10"/>
        <v>0</v>
      </c>
    </row>
    <row r="103" spans="6:26">
      <c r="F103" s="4">
        <v>90</v>
      </c>
      <c r="G103" s="4">
        <v>2</v>
      </c>
      <c r="H103" s="4" t="str">
        <v>northern cape</v>
      </c>
      <c r="I103" s="4" t="str">
        <v>company_g</v>
      </c>
      <c r="K103" s="4">
        <v>90</v>
      </c>
      <c r="L103" s="13">
        <v>4025146.1763260402</v>
      </c>
      <c r="M103" s="13">
        <v>1636426.4653383472</v>
      </c>
      <c r="N103" s="13">
        <v>5040891.1339115528</v>
      </c>
      <c r="O103" s="10"/>
      <c r="P103" s="13">
        <f t="shared" si="7"/>
        <v>0</v>
      </c>
      <c r="Q103" s="13">
        <f t="shared" si="12"/>
        <v>0</v>
      </c>
      <c r="R103" s="13">
        <f t="shared" si="8"/>
        <v>0</v>
      </c>
      <c r="S103" s="11"/>
      <c r="T103" s="13" cm="1">
        <f t="array" ref="T103">_xlfn.IFS($G103="__overall__",
SUMIFS(PremRes!$G$8:$G$208,PremRes!$B$8:$B$208,$G103,PremRes!$C$8:$C$208,$H103,PremRes!$F$8:$F$208,$I103,PremRes!$D$8:$D$208,T$12),
TRUE,
SUMIFS(PremRes!$G$8:$G$208,PremRes!$B$8:$B$208,"level_"&amp;$G103,PremRes!$C$8:$C$208,$H103,PremRes!$F$8:$F$208,$I103,PremRes!$D$8:$D$208,T$12))</f>
        <v>0</v>
      </c>
      <c r="U103" s="13" cm="1">
        <f t="array" ref="U103">_xlfn.IFS($G103="__overall__",
SUMIFS(PremRes!$G$8:$G$208,PremRes!$B$8:$B$208,$G103,PremRes!$C$8:$C$208,$H103,PremRes!$F$8:$F$208,$I103,PremRes!$D$8:$D$208,U$12),
TRUE,
SUMIFS(PremRes!$G$8:$G$208,PremRes!$B$8:$B$208,"level_"&amp;$G103,PremRes!$C$8:$C$208,$H103,PremRes!$F$8:$F$208,$I103,PremRes!$D$8:$D$208,U$12))</f>
        <v>0</v>
      </c>
      <c r="V103" s="13" cm="1">
        <f t="array" ref="V103">_xlfn.IFS($G103="__overall__",
SUMIFS(PremRes!$G$8:$G$208,PremRes!$B$8:$B$208,$G103,PremRes!$C$8:$C$208,$H103,PremRes!$F$8:$F$208,$I103,PremRes!$D$8:$D$208,V$12),
TRUE,
SUMIFS(PremRes!$G$8:$G$208,PremRes!$B$8:$B$208,"level_"&amp;$G103,PremRes!$C$8:$C$208,$H103,PremRes!$F$8:$F$208,$I103,PremRes!$D$8:$D$208,V$12))</f>
        <v>0</v>
      </c>
      <c r="X103" s="101">
        <f t="shared" si="11"/>
        <v>0</v>
      </c>
      <c r="Y103" s="101">
        <f t="shared" si="9"/>
        <v>0</v>
      </c>
      <c r="Z103" s="101">
        <f t="shared" si="10"/>
        <v>0</v>
      </c>
    </row>
    <row r="104" spans="6:26">
      <c r="F104" s="4">
        <v>91</v>
      </c>
      <c r="G104" s="4">
        <v>2</v>
      </c>
      <c r="H104" s="4" t="str">
        <v>free state</v>
      </c>
      <c r="I104" s="4" t="str">
        <v>gross charge</v>
      </c>
      <c r="K104" s="4">
        <v>91</v>
      </c>
      <c r="L104" s="13">
        <v>3765300.5782548334</v>
      </c>
      <c r="M104" s="13">
        <v>1164469.3237679321</v>
      </c>
      <c r="N104" s="13">
        <v>4450505.4614063362</v>
      </c>
      <c r="O104" s="10"/>
      <c r="P104" s="13">
        <f t="shared" si="7"/>
        <v>3765300.5782548334</v>
      </c>
      <c r="Q104" s="13">
        <f t="shared" si="12"/>
        <v>1164469.3237679321</v>
      </c>
      <c r="R104" s="13">
        <f t="shared" si="8"/>
        <v>4450505.4614063362</v>
      </c>
      <c r="S104" s="11"/>
      <c r="T104" s="13" cm="1">
        <f t="array" ref="T104">_xlfn.IFS($G104="__overall__",
SUMIFS(PremRes!$G$8:$G$208,PremRes!$B$8:$B$208,$G104,PremRes!$C$8:$C$208,$H104,PremRes!$F$8:$F$208,$I104,PremRes!$D$8:$D$208,T$12),
TRUE,
SUMIFS(PremRes!$G$8:$G$208,PremRes!$B$8:$B$208,"level_"&amp;$G104,PremRes!$C$8:$C$208,$H104,PremRes!$F$8:$F$208,$I104,PremRes!$D$8:$D$208,T$12))</f>
        <v>3765300.5782548334</v>
      </c>
      <c r="U104" s="13" cm="1">
        <f t="array" ref="U104">_xlfn.IFS($G104="__overall__",
SUMIFS(PremRes!$G$8:$G$208,PremRes!$B$8:$B$208,$G104,PremRes!$C$8:$C$208,$H104,PremRes!$F$8:$F$208,$I104,PremRes!$D$8:$D$208,U$12),
TRUE,
SUMIFS(PremRes!$G$8:$G$208,PremRes!$B$8:$B$208,"level_"&amp;$G104,PremRes!$C$8:$C$208,$H104,PremRes!$F$8:$F$208,$I104,PremRes!$D$8:$D$208,U$12))</f>
        <v>1164469.3237679324</v>
      </c>
      <c r="V104" s="13" cm="1">
        <f t="array" ref="V104">_xlfn.IFS($G104="__overall__",
SUMIFS(PremRes!$G$8:$G$208,PremRes!$B$8:$B$208,$G104,PremRes!$C$8:$C$208,$H104,PremRes!$F$8:$F$208,$I104,PremRes!$D$8:$D$208,V$12),
TRUE,
SUMIFS(PremRes!$G$8:$G$208,PremRes!$B$8:$B$208,"level_"&amp;$G104,PremRes!$C$8:$C$208,$H104,PremRes!$F$8:$F$208,$I104,PremRes!$D$8:$D$208,V$12))</f>
        <v>4450505.4614063352</v>
      </c>
      <c r="X104" s="101">
        <f t="shared" si="11"/>
        <v>0</v>
      </c>
      <c r="Y104" s="101">
        <f t="shared" si="9"/>
        <v>0</v>
      </c>
      <c r="Z104" s="101">
        <f t="shared" si="10"/>
        <v>0</v>
      </c>
    </row>
    <row r="105" spans="6:26">
      <c r="F105" s="4">
        <v>92</v>
      </c>
      <c r="G105" s="4">
        <v>2</v>
      </c>
      <c r="H105" s="4" t="str">
        <v>free state</v>
      </c>
      <c r="I105" s="4" t="str">
        <v>net charge</v>
      </c>
      <c r="K105" s="4">
        <v>92</v>
      </c>
      <c r="L105" s="13">
        <v>3217267.6336595425</v>
      </c>
      <c r="M105" s="13">
        <v>954163.31322392577</v>
      </c>
      <c r="N105" s="13">
        <v>3772567.1907483255</v>
      </c>
      <c r="O105" s="10"/>
      <c r="P105" s="13">
        <f t="shared" si="7"/>
        <v>3217267.6336595425</v>
      </c>
      <c r="Q105" s="13">
        <f t="shared" si="12"/>
        <v>954163.31322392577</v>
      </c>
      <c r="R105" s="13">
        <f t="shared" si="8"/>
        <v>3772567.1907483255</v>
      </c>
      <c r="S105" s="11"/>
      <c r="T105" s="13" cm="1">
        <f t="array" ref="T105">_xlfn.IFS($G105="__overall__",
SUMIFS(PremRes!$G$8:$G$208,PremRes!$B$8:$B$208,$G105,PremRes!$C$8:$C$208,$H105,PremRes!$F$8:$F$208,$I105,PremRes!$D$8:$D$208,T$12),
TRUE,
SUMIFS(PremRes!$G$8:$G$208,PremRes!$B$8:$B$208,"level_"&amp;$G105,PremRes!$C$8:$C$208,$H105,PremRes!$F$8:$F$208,$I105,PremRes!$D$8:$D$208,T$12))</f>
        <v>3217267.6336595435</v>
      </c>
      <c r="U105" s="13" cm="1">
        <f t="array" ref="U105">_xlfn.IFS($G105="__overall__",
SUMIFS(PremRes!$G$8:$G$208,PremRes!$B$8:$B$208,$G105,PremRes!$C$8:$C$208,$H105,PremRes!$F$8:$F$208,$I105,PremRes!$D$8:$D$208,U$12),
TRUE,
SUMIFS(PremRes!$G$8:$G$208,PremRes!$B$8:$B$208,"level_"&amp;$G105,PremRes!$C$8:$C$208,$H105,PremRes!$F$8:$F$208,$I105,PremRes!$D$8:$D$208,U$12))</f>
        <v>954163.31322392577</v>
      </c>
      <c r="V105" s="13" cm="1">
        <f t="array" ref="V105">_xlfn.IFS($G105="__overall__",
SUMIFS(PremRes!$G$8:$G$208,PremRes!$B$8:$B$208,$G105,PremRes!$C$8:$C$208,$H105,PremRes!$F$8:$F$208,$I105,PremRes!$D$8:$D$208,V$12),
TRUE,
SUMIFS(PremRes!$G$8:$G$208,PremRes!$B$8:$B$208,"level_"&amp;$G105,PremRes!$C$8:$C$208,$H105,PremRes!$F$8:$F$208,$I105,PremRes!$D$8:$D$208,V$12))</f>
        <v>3772567.1907483246</v>
      </c>
      <c r="X105" s="101">
        <f t="shared" si="11"/>
        <v>0</v>
      </c>
      <c r="Y105" s="101">
        <f t="shared" si="9"/>
        <v>0</v>
      </c>
      <c r="Z105" s="101">
        <f t="shared" si="10"/>
        <v>0</v>
      </c>
    </row>
    <row r="106" spans="6:26">
      <c r="F106" s="4">
        <v>93</v>
      </c>
      <c r="G106" s="4">
        <v>2</v>
      </c>
      <c r="H106" s="4" t="str">
        <v>free state</v>
      </c>
      <c r="I106" s="4" t="str">
        <v>calculated net charge</v>
      </c>
      <c r="K106" s="4">
        <v>93</v>
      </c>
      <c r="L106" s="13">
        <v>3265753.6984897968</v>
      </c>
      <c r="M106" s="13">
        <v>971760.54279439407</v>
      </c>
      <c r="N106" s="13">
        <v>3831938.586062979</v>
      </c>
      <c r="O106" s="10"/>
      <c r="P106" s="13">
        <f t="shared" si="7"/>
        <v>3265753.6984897968</v>
      </c>
      <c r="Q106" s="13">
        <f t="shared" si="12"/>
        <v>971760.54279439407</v>
      </c>
      <c r="R106" s="13">
        <f t="shared" si="8"/>
        <v>3831938.586062979</v>
      </c>
      <c r="S106" s="11"/>
      <c r="T106" s="13" cm="1">
        <f t="array" ref="T106">_xlfn.IFS($G106="__overall__",
SUMIFS(PremRes!$G$8:$G$208,PremRes!$B$8:$B$208,$G106,PremRes!$C$8:$C$208,$H106,PremRes!$F$8:$F$208,$I106,PremRes!$D$8:$D$208,T$12),
TRUE,
SUMIFS(PremRes!$G$8:$G$208,PremRes!$B$8:$B$208,"level_"&amp;$G106,PremRes!$C$8:$C$208,$H106,PremRes!$F$8:$F$208,$I106,PremRes!$D$8:$D$208,T$12))</f>
        <v>3265753.6984897968</v>
      </c>
      <c r="U106" s="13" cm="1">
        <f t="array" ref="U106">_xlfn.IFS($G106="__overall__",
SUMIFS(PremRes!$G$8:$G$208,PremRes!$B$8:$B$208,$G106,PremRes!$C$8:$C$208,$H106,PremRes!$F$8:$F$208,$I106,PremRes!$D$8:$D$208,U$12),
TRUE,
SUMIFS(PremRes!$G$8:$G$208,PremRes!$B$8:$B$208,"level_"&amp;$G106,PremRes!$C$8:$C$208,$H106,PremRes!$F$8:$F$208,$I106,PremRes!$D$8:$D$208,U$12))</f>
        <v>971760.54279439407</v>
      </c>
      <c r="V106" s="13" cm="1">
        <f t="array" ref="V106">_xlfn.IFS($G106="__overall__",
SUMIFS(PremRes!$G$8:$G$208,PremRes!$B$8:$B$208,$G106,PremRes!$C$8:$C$208,$H106,PremRes!$F$8:$F$208,$I106,PremRes!$D$8:$D$208,V$12),
TRUE,
SUMIFS(PremRes!$G$8:$G$208,PremRes!$B$8:$B$208,"level_"&amp;$G106,PremRes!$C$8:$C$208,$H106,PremRes!$F$8:$F$208,$I106,PremRes!$D$8:$D$208,V$12))</f>
        <v>3831938.586062979</v>
      </c>
      <c r="X106" s="101">
        <f t="shared" si="11"/>
        <v>0</v>
      </c>
      <c r="Y106" s="101">
        <f t="shared" si="9"/>
        <v>0</v>
      </c>
      <c r="Z106" s="101">
        <f t="shared" si="10"/>
        <v>0</v>
      </c>
    </row>
    <row r="107" spans="6:26">
      <c r="F107" s="4">
        <v>94</v>
      </c>
      <c r="G107" s="4">
        <v>2</v>
      </c>
      <c r="H107" s="4" t="str">
        <v>free state</v>
      </c>
      <c r="I107" s="4" t="str">
        <v>company_a</v>
      </c>
      <c r="K107" s="4">
        <v>94</v>
      </c>
      <c r="L107" s="13">
        <v>3479439.7106428673</v>
      </c>
      <c r="M107" s="13">
        <v>1035525.3256669969</v>
      </c>
      <c r="N107" s="13">
        <v>4085109.0525655756</v>
      </c>
      <c r="O107" s="10"/>
      <c r="P107" s="13">
        <f t="shared" si="7"/>
        <v>213686.01215307042</v>
      </c>
      <c r="Q107" s="13">
        <f t="shared" si="12"/>
        <v>63764.782872602809</v>
      </c>
      <c r="R107" s="13">
        <f t="shared" si="8"/>
        <v>253170.46650259662</v>
      </c>
      <c r="S107" s="11"/>
      <c r="T107" s="13" cm="1">
        <f t="array" ref="T107">_xlfn.IFS($G107="__overall__",
SUMIFS(PremRes!$G$8:$G$208,PremRes!$B$8:$B$208,$G107,PremRes!$C$8:$C$208,$H107,PremRes!$F$8:$F$208,$I107,PremRes!$D$8:$D$208,T$12),
TRUE,
SUMIFS(PremRes!$G$8:$G$208,PremRes!$B$8:$B$208,"level_"&amp;$G107,PremRes!$C$8:$C$208,$H107,PremRes!$F$8:$F$208,$I107,PremRes!$D$8:$D$208,T$12))</f>
        <v>213686.01215307042</v>
      </c>
      <c r="U107" s="13" cm="1">
        <f t="array" ref="U107">_xlfn.IFS($G107="__overall__",
SUMIFS(PremRes!$G$8:$G$208,PremRes!$B$8:$B$208,$G107,PremRes!$C$8:$C$208,$H107,PremRes!$F$8:$F$208,$I107,PremRes!$D$8:$D$208,U$12),
TRUE,
SUMIFS(PremRes!$G$8:$G$208,PremRes!$B$8:$B$208,"level_"&amp;$G107,PremRes!$C$8:$C$208,$H107,PremRes!$F$8:$F$208,$I107,PremRes!$D$8:$D$208,U$12))</f>
        <v>63764.782872602693</v>
      </c>
      <c r="V107" s="13" cm="1">
        <f t="array" ref="V107">_xlfn.IFS($G107="__overall__",
SUMIFS(PremRes!$G$8:$G$208,PremRes!$B$8:$B$208,$G107,PremRes!$C$8:$C$208,$H107,PremRes!$F$8:$F$208,$I107,PremRes!$D$8:$D$208,V$12),
TRUE,
SUMIFS(PremRes!$G$8:$G$208,PremRes!$B$8:$B$208,"level_"&amp;$G107,PremRes!$C$8:$C$208,$H107,PremRes!$F$8:$F$208,$I107,PremRes!$D$8:$D$208,V$12))</f>
        <v>253170.46650259662</v>
      </c>
      <c r="X107" s="101">
        <f t="shared" si="11"/>
        <v>0</v>
      </c>
      <c r="Y107" s="101">
        <f t="shared" si="9"/>
        <v>1.1641532182693481E-10</v>
      </c>
      <c r="Z107" s="101">
        <f t="shared" si="10"/>
        <v>0</v>
      </c>
    </row>
    <row r="108" spans="6:26">
      <c r="F108" s="4">
        <v>95</v>
      </c>
      <c r="G108" s="4">
        <v>2</v>
      </c>
      <c r="H108" s="4" t="str">
        <v>free state</v>
      </c>
      <c r="I108" s="4" t="str">
        <v>company_b</v>
      </c>
      <c r="K108" s="4">
        <v>95</v>
      </c>
      <c r="L108" s="13">
        <v>3473281.2459295825</v>
      </c>
      <c r="M108" s="13">
        <v>1049386.7201247802</v>
      </c>
      <c r="N108" s="13">
        <v>4087426.7990231356</v>
      </c>
      <c r="O108" s="10"/>
      <c r="P108" s="13">
        <f t="shared" si="7"/>
        <v>207527.54743978567</v>
      </c>
      <c r="Q108" s="13">
        <f t="shared" si="12"/>
        <v>77626.177330386126</v>
      </c>
      <c r="R108" s="13">
        <f t="shared" si="8"/>
        <v>255488.21296015661</v>
      </c>
      <c r="S108" s="11"/>
      <c r="T108" s="13" cm="1">
        <f t="array" ref="T108">_xlfn.IFS($G108="__overall__",
SUMIFS(PremRes!$G$8:$G$208,PremRes!$B$8:$B$208,$G108,PremRes!$C$8:$C$208,$H108,PremRes!$F$8:$F$208,$I108,PremRes!$D$8:$D$208,T$12),
TRUE,
SUMIFS(PremRes!$G$8:$G$208,PremRes!$B$8:$B$208,"level_"&amp;$G108,PremRes!$C$8:$C$208,$H108,PremRes!$F$8:$F$208,$I108,PremRes!$D$8:$D$208,T$12))</f>
        <v>207527.54743978567</v>
      </c>
      <c r="U108" s="13" cm="1">
        <f t="array" ref="U108">_xlfn.IFS($G108="__overall__",
SUMIFS(PremRes!$G$8:$G$208,PremRes!$B$8:$B$208,$G108,PremRes!$C$8:$C$208,$H108,PremRes!$F$8:$F$208,$I108,PremRes!$D$8:$D$208,U$12),
TRUE,
SUMIFS(PremRes!$G$8:$G$208,PremRes!$B$8:$B$208,"level_"&amp;$G108,PremRes!$C$8:$C$208,$H108,PremRes!$F$8:$F$208,$I108,PremRes!$D$8:$D$208,U$12))</f>
        <v>77626.177330386126</v>
      </c>
      <c r="V108" s="13" cm="1">
        <f t="array" ref="V108">_xlfn.IFS($G108="__overall__",
SUMIFS(PremRes!$G$8:$G$208,PremRes!$B$8:$B$208,$G108,PremRes!$C$8:$C$208,$H108,PremRes!$F$8:$F$208,$I108,PremRes!$D$8:$D$208,V$12),
TRUE,
SUMIFS(PremRes!$G$8:$G$208,PremRes!$B$8:$B$208,"level_"&amp;$G108,PremRes!$C$8:$C$208,$H108,PremRes!$F$8:$F$208,$I108,PremRes!$D$8:$D$208,V$12))</f>
        <v>255488.21296015568</v>
      </c>
      <c r="X108" s="101">
        <f t="shared" si="11"/>
        <v>0</v>
      </c>
      <c r="Y108" s="101">
        <f t="shared" si="9"/>
        <v>0</v>
      </c>
      <c r="Z108" s="101">
        <f t="shared" si="10"/>
        <v>9.3132257461547852E-10</v>
      </c>
    </row>
    <row r="109" spans="6:26">
      <c r="F109" s="4">
        <v>96</v>
      </c>
      <c r="G109" s="4">
        <v>2</v>
      </c>
      <c r="H109" s="4" t="str">
        <v>free state</v>
      </c>
      <c r="I109" s="4" t="str">
        <v>company_c</v>
      </c>
      <c r="K109" s="4">
        <v>96</v>
      </c>
      <c r="L109" s="13">
        <v>3335609.8376963092</v>
      </c>
      <c r="M109" s="13">
        <v>1021983.2388741318</v>
      </c>
      <c r="N109" s="13">
        <v>3932740.2546030981</v>
      </c>
      <c r="O109" s="10"/>
      <c r="P109" s="13">
        <f t="shared" si="7"/>
        <v>69856.139206512365</v>
      </c>
      <c r="Q109" s="13">
        <f t="shared" si="12"/>
        <v>50222.69607973774</v>
      </c>
      <c r="R109" s="13">
        <f t="shared" si="8"/>
        <v>100801.66854011919</v>
      </c>
      <c r="S109" s="11"/>
      <c r="T109" s="13" cm="1">
        <f t="array" ref="T109">_xlfn.IFS($G109="__overall__",
SUMIFS(PremRes!$G$8:$G$208,PremRes!$B$8:$B$208,$G109,PremRes!$C$8:$C$208,$H109,PremRes!$F$8:$F$208,$I109,PremRes!$D$8:$D$208,T$12),
TRUE,
SUMIFS(PremRes!$G$8:$G$208,PremRes!$B$8:$B$208,"level_"&amp;$G109,PremRes!$C$8:$C$208,$H109,PremRes!$F$8:$F$208,$I109,PremRes!$D$8:$D$208,T$12))</f>
        <v>69856.139206512365</v>
      </c>
      <c r="U109" s="13" cm="1">
        <f t="array" ref="U109">_xlfn.IFS($G109="__overall__",
SUMIFS(PremRes!$G$8:$G$208,PremRes!$B$8:$B$208,$G109,PremRes!$C$8:$C$208,$H109,PremRes!$F$8:$F$208,$I109,PremRes!$D$8:$D$208,U$12),
TRUE,
SUMIFS(PremRes!$G$8:$G$208,PremRes!$B$8:$B$208,"level_"&amp;$G109,PremRes!$C$8:$C$208,$H109,PremRes!$F$8:$F$208,$I109,PremRes!$D$8:$D$208,U$12))</f>
        <v>50222.69607973774</v>
      </c>
      <c r="V109" s="13" cm="1">
        <f t="array" ref="V109">_xlfn.IFS($G109="__overall__",
SUMIFS(PremRes!$G$8:$G$208,PremRes!$B$8:$B$208,$G109,PremRes!$C$8:$C$208,$H109,PremRes!$F$8:$F$208,$I109,PremRes!$D$8:$D$208,V$12),
TRUE,
SUMIFS(PremRes!$G$8:$G$208,PremRes!$B$8:$B$208,"level_"&amp;$G109,PremRes!$C$8:$C$208,$H109,PremRes!$F$8:$F$208,$I109,PremRes!$D$8:$D$208,V$12))</f>
        <v>100801.66854011919</v>
      </c>
      <c r="X109" s="101">
        <f t="shared" si="11"/>
        <v>0</v>
      </c>
      <c r="Y109" s="101">
        <f t="shared" si="9"/>
        <v>0</v>
      </c>
      <c r="Z109" s="101">
        <f t="shared" si="10"/>
        <v>0</v>
      </c>
    </row>
    <row r="110" spans="6:26">
      <c r="F110" s="4">
        <v>97</v>
      </c>
      <c r="G110" s="4">
        <v>2</v>
      </c>
      <c r="H110" s="4" t="str">
        <v>free state</v>
      </c>
      <c r="I110" s="4" t="str">
        <v>company_d</v>
      </c>
      <c r="K110" s="4">
        <v>97</v>
      </c>
      <c r="L110" s="13">
        <v>3265753.6984897968</v>
      </c>
      <c r="M110" s="13">
        <v>971760.54279439407</v>
      </c>
      <c r="N110" s="13">
        <v>3831938.586062979</v>
      </c>
      <c r="O110" s="10"/>
      <c r="P110" s="13">
        <f t="shared" si="7"/>
        <v>0</v>
      </c>
      <c r="Q110" s="13">
        <f t="shared" si="12"/>
        <v>0</v>
      </c>
      <c r="R110" s="13">
        <f t="shared" si="8"/>
        <v>0</v>
      </c>
      <c r="S110" s="11"/>
      <c r="T110" s="13" cm="1">
        <f t="array" ref="T110">_xlfn.IFS($G110="__overall__",
SUMIFS(PremRes!$G$8:$G$208,PremRes!$B$8:$B$208,$G110,PremRes!$C$8:$C$208,$H110,PremRes!$F$8:$F$208,$I110,PremRes!$D$8:$D$208,T$12),
TRUE,
SUMIFS(PremRes!$G$8:$G$208,PremRes!$B$8:$B$208,"level_"&amp;$G110,PremRes!$C$8:$C$208,$H110,PremRes!$F$8:$F$208,$I110,PremRes!$D$8:$D$208,T$12))</f>
        <v>0</v>
      </c>
      <c r="U110" s="13" cm="1">
        <f t="array" ref="U110">_xlfn.IFS($G110="__overall__",
SUMIFS(PremRes!$G$8:$G$208,PremRes!$B$8:$B$208,$G110,PremRes!$C$8:$C$208,$H110,PremRes!$F$8:$F$208,$I110,PremRes!$D$8:$D$208,U$12),
TRUE,
SUMIFS(PremRes!$G$8:$G$208,PremRes!$B$8:$B$208,"level_"&amp;$G110,PremRes!$C$8:$C$208,$H110,PremRes!$F$8:$F$208,$I110,PremRes!$D$8:$D$208,U$12))</f>
        <v>0</v>
      </c>
      <c r="V110" s="13" cm="1">
        <f t="array" ref="V110">_xlfn.IFS($G110="__overall__",
SUMIFS(PremRes!$G$8:$G$208,PremRes!$B$8:$B$208,$G110,PremRes!$C$8:$C$208,$H110,PremRes!$F$8:$F$208,$I110,PremRes!$D$8:$D$208,V$12),
TRUE,
SUMIFS(PremRes!$G$8:$G$208,PremRes!$B$8:$B$208,"level_"&amp;$G110,PremRes!$C$8:$C$208,$H110,PremRes!$F$8:$F$208,$I110,PremRes!$D$8:$D$208,V$12))</f>
        <v>0</v>
      </c>
      <c r="X110" s="101">
        <f t="shared" si="11"/>
        <v>0</v>
      </c>
      <c r="Y110" s="101">
        <f t="shared" si="9"/>
        <v>0</v>
      </c>
      <c r="Z110" s="101">
        <f t="shared" si="10"/>
        <v>0</v>
      </c>
    </row>
    <row r="111" spans="6:26">
      <c r="F111" s="4">
        <v>98</v>
      </c>
      <c r="G111" s="4">
        <v>2</v>
      </c>
      <c r="H111" s="4" t="str">
        <v>free state</v>
      </c>
      <c r="I111" s="4" t="str">
        <v>company_e</v>
      </c>
      <c r="K111" s="4">
        <v>98</v>
      </c>
      <c r="L111" s="13">
        <v>3265753.6984897968</v>
      </c>
      <c r="M111" s="13">
        <v>971760.54279439407</v>
      </c>
      <c r="N111" s="13">
        <v>3831938.586062979</v>
      </c>
      <c r="O111" s="10"/>
      <c r="P111" s="13">
        <f t="shared" si="7"/>
        <v>0</v>
      </c>
      <c r="Q111" s="13">
        <f t="shared" si="12"/>
        <v>0</v>
      </c>
      <c r="R111" s="13">
        <f t="shared" si="8"/>
        <v>0</v>
      </c>
      <c r="S111" s="11"/>
      <c r="T111" s="13" cm="1">
        <f t="array" ref="T111">_xlfn.IFS($G111="__overall__",
SUMIFS(PremRes!$G$8:$G$208,PremRes!$B$8:$B$208,$G111,PremRes!$C$8:$C$208,$H111,PremRes!$F$8:$F$208,$I111,PremRes!$D$8:$D$208,T$12),
TRUE,
SUMIFS(PremRes!$G$8:$G$208,PremRes!$B$8:$B$208,"level_"&amp;$G111,PremRes!$C$8:$C$208,$H111,PremRes!$F$8:$F$208,$I111,PremRes!$D$8:$D$208,T$12))</f>
        <v>0</v>
      </c>
      <c r="U111" s="13" cm="1">
        <f t="array" ref="U111">_xlfn.IFS($G111="__overall__",
SUMIFS(PremRes!$G$8:$G$208,PremRes!$B$8:$B$208,$G111,PremRes!$C$8:$C$208,$H111,PremRes!$F$8:$F$208,$I111,PremRes!$D$8:$D$208,U$12),
TRUE,
SUMIFS(PremRes!$G$8:$G$208,PremRes!$B$8:$B$208,"level_"&amp;$G111,PremRes!$C$8:$C$208,$H111,PremRes!$F$8:$F$208,$I111,PremRes!$D$8:$D$208,U$12))</f>
        <v>0</v>
      </c>
      <c r="V111" s="13" cm="1">
        <f t="array" ref="V111">_xlfn.IFS($G111="__overall__",
SUMIFS(PremRes!$G$8:$G$208,PremRes!$B$8:$B$208,$G111,PremRes!$C$8:$C$208,$H111,PremRes!$F$8:$F$208,$I111,PremRes!$D$8:$D$208,V$12),
TRUE,
SUMIFS(PremRes!$G$8:$G$208,PremRes!$B$8:$B$208,"level_"&amp;$G111,PremRes!$C$8:$C$208,$H111,PremRes!$F$8:$F$208,$I111,PremRes!$D$8:$D$208,V$12))</f>
        <v>0</v>
      </c>
      <c r="X111" s="101">
        <f t="shared" si="11"/>
        <v>0</v>
      </c>
      <c r="Y111" s="101">
        <f t="shared" si="9"/>
        <v>0</v>
      </c>
      <c r="Z111" s="101">
        <f t="shared" si="10"/>
        <v>0</v>
      </c>
    </row>
    <row r="112" spans="6:26">
      <c r="F112" s="4">
        <v>99</v>
      </c>
      <c r="G112" s="4">
        <v>2</v>
      </c>
      <c r="H112" s="4" t="str">
        <v>free state</v>
      </c>
      <c r="I112" s="4" t="str">
        <v>company_g</v>
      </c>
      <c r="K112" s="4">
        <v>99</v>
      </c>
      <c r="L112" s="13">
        <v>3265753.6984897968</v>
      </c>
      <c r="M112" s="13">
        <v>971760.54279439407</v>
      </c>
      <c r="N112" s="13">
        <v>3831938.586062979</v>
      </c>
      <c r="O112" s="10"/>
      <c r="P112" s="13">
        <f t="shared" si="7"/>
        <v>0</v>
      </c>
      <c r="Q112" s="13">
        <f t="shared" si="12"/>
        <v>0</v>
      </c>
      <c r="R112" s="13">
        <f t="shared" si="8"/>
        <v>0</v>
      </c>
      <c r="S112" s="11"/>
      <c r="T112" s="13" cm="1">
        <f t="array" ref="T112">_xlfn.IFS($G112="__overall__",
SUMIFS(PremRes!$G$8:$G$208,PremRes!$B$8:$B$208,$G112,PremRes!$C$8:$C$208,$H112,PremRes!$F$8:$F$208,$I112,PremRes!$D$8:$D$208,T$12),
TRUE,
SUMIFS(PremRes!$G$8:$G$208,PremRes!$B$8:$B$208,"level_"&amp;$G112,PremRes!$C$8:$C$208,$H112,PremRes!$F$8:$F$208,$I112,PremRes!$D$8:$D$208,T$12))</f>
        <v>0</v>
      </c>
      <c r="U112" s="13" cm="1">
        <f t="array" ref="U112">_xlfn.IFS($G112="__overall__",
SUMIFS(PremRes!$G$8:$G$208,PremRes!$B$8:$B$208,$G112,PremRes!$C$8:$C$208,$H112,PremRes!$F$8:$F$208,$I112,PremRes!$D$8:$D$208,U$12),
TRUE,
SUMIFS(PremRes!$G$8:$G$208,PremRes!$B$8:$B$208,"level_"&amp;$G112,PremRes!$C$8:$C$208,$H112,PremRes!$F$8:$F$208,$I112,PremRes!$D$8:$D$208,U$12))</f>
        <v>0</v>
      </c>
      <c r="V112" s="13" cm="1">
        <f t="array" ref="V112">_xlfn.IFS($G112="__overall__",
SUMIFS(PremRes!$G$8:$G$208,PremRes!$B$8:$B$208,$G112,PremRes!$C$8:$C$208,$H112,PremRes!$F$8:$F$208,$I112,PremRes!$D$8:$D$208,V$12),
TRUE,
SUMIFS(PremRes!$G$8:$G$208,PremRes!$B$8:$B$208,"level_"&amp;$G112,PremRes!$C$8:$C$208,$H112,PremRes!$F$8:$F$208,$I112,PremRes!$D$8:$D$208,V$12))</f>
        <v>0</v>
      </c>
      <c r="X112" s="101">
        <f t="shared" si="11"/>
        <v>0</v>
      </c>
      <c r="Y112" s="101">
        <f t="shared" si="9"/>
        <v>0</v>
      </c>
      <c r="Z112" s="101">
        <f t="shared" si="10"/>
        <v>0</v>
      </c>
    </row>
    <row r="113" spans="6:26">
      <c r="F113" s="4">
        <v>100</v>
      </c>
      <c r="G113" s="4">
        <v>2</v>
      </c>
      <c r="H113" s="4" t="str">
        <v>eastern cape</v>
      </c>
      <c r="I113" s="4" t="str">
        <v>gross charge</v>
      </c>
      <c r="K113" s="4">
        <v>100</v>
      </c>
      <c r="L113" s="13">
        <v>2127558.12655959</v>
      </c>
      <c r="M113" s="13">
        <v>1027948.0971655734</v>
      </c>
      <c r="N113" s="13">
        <v>2779270.8014661027</v>
      </c>
      <c r="O113" s="10"/>
      <c r="P113" s="13">
        <f t="shared" si="7"/>
        <v>2127558.12655959</v>
      </c>
      <c r="Q113" s="13">
        <f t="shared" si="12"/>
        <v>1027948.0971655734</v>
      </c>
      <c r="R113" s="13">
        <f t="shared" si="8"/>
        <v>2779270.8014661027</v>
      </c>
      <c r="S113" s="11"/>
      <c r="T113" s="13" cm="1">
        <f t="array" ref="T113">_xlfn.IFS($G113="__overall__",
SUMIFS(PremRes!$G$8:$G$208,PremRes!$B$8:$B$208,$G113,PremRes!$C$8:$C$208,$H113,PremRes!$F$8:$F$208,$I113,PremRes!$D$8:$D$208,T$12),
TRUE,
SUMIFS(PremRes!$G$8:$G$208,PremRes!$B$8:$B$208,"level_"&amp;$G113,PremRes!$C$8:$C$208,$H113,PremRes!$F$8:$F$208,$I113,PremRes!$D$8:$D$208,T$12))</f>
        <v>2127558.1265595895</v>
      </c>
      <c r="U113" s="13" cm="1">
        <f t="array" ref="U113">_xlfn.IFS($G113="__overall__",
SUMIFS(PremRes!$G$8:$G$208,PremRes!$B$8:$B$208,$G113,PremRes!$C$8:$C$208,$H113,PremRes!$F$8:$F$208,$I113,PremRes!$D$8:$D$208,U$12),
TRUE,
SUMIFS(PremRes!$G$8:$G$208,PremRes!$B$8:$B$208,"level_"&amp;$G113,PremRes!$C$8:$C$208,$H113,PremRes!$F$8:$F$208,$I113,PremRes!$D$8:$D$208,U$12))</f>
        <v>1027948.0971655734</v>
      </c>
      <c r="V113" s="13" cm="1">
        <f t="array" ref="V113">_xlfn.IFS($G113="__overall__",
SUMIFS(PremRes!$G$8:$G$208,PremRes!$B$8:$B$208,$G113,PremRes!$C$8:$C$208,$H113,PremRes!$F$8:$F$208,$I113,PremRes!$D$8:$D$208,V$12),
TRUE,
SUMIFS(PremRes!$G$8:$G$208,PremRes!$B$8:$B$208,"level_"&amp;$G113,PremRes!$C$8:$C$208,$H113,PremRes!$F$8:$F$208,$I113,PremRes!$D$8:$D$208,V$12))</f>
        <v>2779270.8014661032</v>
      </c>
      <c r="X113" s="101">
        <f t="shared" si="11"/>
        <v>0</v>
      </c>
      <c r="Y113" s="101">
        <f t="shared" si="9"/>
        <v>0</v>
      </c>
      <c r="Z113" s="101">
        <f t="shared" si="10"/>
        <v>0</v>
      </c>
    </row>
    <row r="114" spans="6:26">
      <c r="F114" s="4">
        <v>101</v>
      </c>
      <c r="G114" s="4">
        <v>2</v>
      </c>
      <c r="H114" s="4" t="str">
        <v>eastern cape</v>
      </c>
      <c r="I114" s="4" t="str">
        <v>net charge</v>
      </c>
      <c r="K114" s="4">
        <v>101</v>
      </c>
      <c r="L114" s="13">
        <v>1983818.8876473862</v>
      </c>
      <c r="M114" s="13">
        <v>947334.54987405194</v>
      </c>
      <c r="N114" s="13">
        <v>2581314.7842029901</v>
      </c>
      <c r="O114" s="10"/>
      <c r="P114" s="13">
        <f t="shared" si="7"/>
        <v>1983818.8876473862</v>
      </c>
      <c r="Q114" s="13">
        <f t="shared" si="12"/>
        <v>947334.54987405194</v>
      </c>
      <c r="R114" s="13">
        <f t="shared" si="8"/>
        <v>2581314.7842029901</v>
      </c>
      <c r="S114" s="11"/>
      <c r="T114" s="13" cm="1">
        <f t="array" ref="T114">_xlfn.IFS($G114="__overall__",
SUMIFS(PremRes!$G$8:$G$208,PremRes!$B$8:$B$208,$G114,PremRes!$C$8:$C$208,$H114,PremRes!$F$8:$F$208,$I114,PremRes!$D$8:$D$208,T$12),
TRUE,
SUMIFS(PremRes!$G$8:$G$208,PremRes!$B$8:$B$208,"level_"&amp;$G114,PremRes!$C$8:$C$208,$H114,PremRes!$F$8:$F$208,$I114,PremRes!$D$8:$D$208,T$12))</f>
        <v>1983818.8876473857</v>
      </c>
      <c r="U114" s="13" cm="1">
        <f t="array" ref="U114">_xlfn.IFS($G114="__overall__",
SUMIFS(PremRes!$G$8:$G$208,PremRes!$B$8:$B$208,$G114,PremRes!$C$8:$C$208,$H114,PremRes!$F$8:$F$208,$I114,PremRes!$D$8:$D$208,U$12),
TRUE,
SUMIFS(PremRes!$G$8:$G$208,PremRes!$B$8:$B$208,"level_"&amp;$G114,PremRes!$C$8:$C$208,$H114,PremRes!$F$8:$F$208,$I114,PremRes!$D$8:$D$208,U$12))</f>
        <v>947334.54987405194</v>
      </c>
      <c r="V114" s="13" cm="1">
        <f t="array" ref="V114">_xlfn.IFS($G114="__overall__",
SUMIFS(PremRes!$G$8:$G$208,PremRes!$B$8:$B$208,$G114,PremRes!$C$8:$C$208,$H114,PremRes!$F$8:$F$208,$I114,PremRes!$D$8:$D$208,V$12),
TRUE,
SUMIFS(PremRes!$G$8:$G$208,PremRes!$B$8:$B$208,"level_"&amp;$G114,PremRes!$C$8:$C$208,$H114,PremRes!$F$8:$F$208,$I114,PremRes!$D$8:$D$208,V$12))</f>
        <v>2581314.7842029906</v>
      </c>
      <c r="X114" s="101">
        <f t="shared" si="11"/>
        <v>0</v>
      </c>
      <c r="Y114" s="101">
        <f t="shared" si="9"/>
        <v>0</v>
      </c>
      <c r="Z114" s="101">
        <f t="shared" si="10"/>
        <v>0</v>
      </c>
    </row>
    <row r="115" spans="6:26">
      <c r="F115" s="4">
        <v>102</v>
      </c>
      <c r="G115" s="4">
        <v>2</v>
      </c>
      <c r="H115" s="4" t="str">
        <v>eastern cape</v>
      </c>
      <c r="I115" s="4" t="str">
        <v>calculated net charge</v>
      </c>
      <c r="K115" s="4">
        <v>102</v>
      </c>
      <c r="L115" s="13">
        <v>1993206.0317080151</v>
      </c>
      <c r="M115" s="13">
        <v>952618.01922201412</v>
      </c>
      <c r="N115" s="13">
        <v>2594263.1415814208</v>
      </c>
      <c r="O115" s="10"/>
      <c r="P115" s="13">
        <f t="shared" si="7"/>
        <v>1993206.0317080151</v>
      </c>
      <c r="Q115" s="13">
        <f t="shared" si="12"/>
        <v>952618.01922201412</v>
      </c>
      <c r="R115" s="13">
        <f t="shared" si="8"/>
        <v>2594263.1415814208</v>
      </c>
      <c r="S115" s="11"/>
      <c r="T115" s="13" cm="1">
        <f t="array" ref="T115">_xlfn.IFS($G115="__overall__",
SUMIFS(PremRes!$G$8:$G$208,PremRes!$B$8:$B$208,$G115,PremRes!$C$8:$C$208,$H115,PremRes!$F$8:$F$208,$I115,PremRes!$D$8:$D$208,T$12),
TRUE,
SUMIFS(PremRes!$G$8:$G$208,PremRes!$B$8:$B$208,"level_"&amp;$G115,PremRes!$C$8:$C$208,$H115,PremRes!$F$8:$F$208,$I115,PremRes!$D$8:$D$208,T$12))</f>
        <v>1993206.0317080147</v>
      </c>
      <c r="U115" s="13" cm="1">
        <f t="array" ref="U115">_xlfn.IFS($G115="__overall__",
SUMIFS(PremRes!$G$8:$G$208,PremRes!$B$8:$B$208,$G115,PremRes!$C$8:$C$208,$H115,PremRes!$F$8:$F$208,$I115,PremRes!$D$8:$D$208,U$12),
TRUE,
SUMIFS(PremRes!$G$8:$G$208,PremRes!$B$8:$B$208,"level_"&amp;$G115,PremRes!$C$8:$C$208,$H115,PremRes!$F$8:$F$208,$I115,PremRes!$D$8:$D$208,U$12))</f>
        <v>952618.01922201412</v>
      </c>
      <c r="V115" s="13" cm="1">
        <f t="array" ref="V115">_xlfn.IFS($G115="__overall__",
SUMIFS(PremRes!$G$8:$G$208,PremRes!$B$8:$B$208,$G115,PremRes!$C$8:$C$208,$H115,PremRes!$F$8:$F$208,$I115,PremRes!$D$8:$D$208,V$12),
TRUE,
SUMIFS(PremRes!$G$8:$G$208,PremRes!$B$8:$B$208,"level_"&amp;$G115,PremRes!$C$8:$C$208,$H115,PremRes!$F$8:$F$208,$I115,PremRes!$D$8:$D$208,V$12))</f>
        <v>2594263.1415814213</v>
      </c>
      <c r="X115" s="101">
        <f t="shared" si="11"/>
        <v>0</v>
      </c>
      <c r="Y115" s="101">
        <f t="shared" si="9"/>
        <v>0</v>
      </c>
      <c r="Z115" s="101">
        <f t="shared" si="10"/>
        <v>0</v>
      </c>
    </row>
    <row r="116" spans="6:26">
      <c r="F116" s="4">
        <v>103</v>
      </c>
      <c r="G116" s="4">
        <v>2</v>
      </c>
      <c r="H116" s="4" t="str">
        <v>eastern cape</v>
      </c>
      <c r="I116" s="4" t="str">
        <v>company_a</v>
      </c>
      <c r="K116" s="4">
        <v>103</v>
      </c>
      <c r="L116" s="13">
        <v>1993206.0317080151</v>
      </c>
      <c r="M116" s="13">
        <v>952618.01922201412</v>
      </c>
      <c r="N116" s="13">
        <v>2594263.1415814208</v>
      </c>
      <c r="O116" s="10"/>
      <c r="P116" s="13">
        <f t="shared" si="7"/>
        <v>0</v>
      </c>
      <c r="Q116" s="13">
        <f t="shared" si="12"/>
        <v>0</v>
      </c>
      <c r="R116" s="13">
        <f t="shared" si="8"/>
        <v>0</v>
      </c>
      <c r="S116" s="11"/>
      <c r="T116" s="13" cm="1">
        <f t="array" ref="T116">_xlfn.IFS($G116="__overall__",
SUMIFS(PremRes!$G$8:$G$208,PremRes!$B$8:$B$208,$G116,PremRes!$C$8:$C$208,$H116,PremRes!$F$8:$F$208,$I116,PremRes!$D$8:$D$208,T$12),
TRUE,
SUMIFS(PremRes!$G$8:$G$208,PremRes!$B$8:$B$208,"level_"&amp;$G116,PremRes!$C$8:$C$208,$H116,PremRes!$F$8:$F$208,$I116,PremRes!$D$8:$D$208,T$12))</f>
        <v>0</v>
      </c>
      <c r="U116" s="13" cm="1">
        <f t="array" ref="U116">_xlfn.IFS($G116="__overall__",
SUMIFS(PremRes!$G$8:$G$208,PremRes!$B$8:$B$208,$G116,PremRes!$C$8:$C$208,$H116,PremRes!$F$8:$F$208,$I116,PremRes!$D$8:$D$208,U$12),
TRUE,
SUMIFS(PremRes!$G$8:$G$208,PremRes!$B$8:$B$208,"level_"&amp;$G116,PremRes!$C$8:$C$208,$H116,PremRes!$F$8:$F$208,$I116,PremRes!$D$8:$D$208,U$12))</f>
        <v>0</v>
      </c>
      <c r="V116" s="13" cm="1">
        <f t="array" ref="V116">_xlfn.IFS($G116="__overall__",
SUMIFS(PremRes!$G$8:$G$208,PremRes!$B$8:$B$208,$G116,PremRes!$C$8:$C$208,$H116,PremRes!$F$8:$F$208,$I116,PremRes!$D$8:$D$208,V$12),
TRUE,
SUMIFS(PremRes!$G$8:$G$208,PremRes!$B$8:$B$208,"level_"&amp;$G116,PremRes!$C$8:$C$208,$H116,PremRes!$F$8:$F$208,$I116,PremRes!$D$8:$D$208,V$12))</f>
        <v>0</v>
      </c>
      <c r="X116" s="101">
        <f t="shared" si="11"/>
        <v>0</v>
      </c>
      <c r="Y116" s="101">
        <f t="shared" si="9"/>
        <v>0</v>
      </c>
      <c r="Z116" s="101">
        <f t="shared" si="10"/>
        <v>0</v>
      </c>
    </row>
    <row r="117" spans="6:26">
      <c r="F117" s="4">
        <v>104</v>
      </c>
      <c r="G117" s="4">
        <v>2</v>
      </c>
      <c r="H117" s="4" t="str">
        <v>eastern cape</v>
      </c>
      <c r="I117" s="4" t="str">
        <v>company_b</v>
      </c>
      <c r="K117" s="4">
        <v>104</v>
      </c>
      <c r="L117" s="13">
        <v>2040578.2203573631</v>
      </c>
      <c r="M117" s="13">
        <v>979239.42775828275</v>
      </c>
      <c r="N117" s="13">
        <v>2659561.5524682677</v>
      </c>
      <c r="O117" s="10"/>
      <c r="P117" s="13">
        <f t="shared" si="7"/>
        <v>47372.188649347983</v>
      </c>
      <c r="Q117" s="13">
        <f t="shared" si="12"/>
        <v>26621.408536268631</v>
      </c>
      <c r="R117" s="13">
        <f t="shared" si="8"/>
        <v>65298.410886846948</v>
      </c>
      <c r="S117" s="11"/>
      <c r="T117" s="13" cm="1">
        <f t="array" ref="T117">_xlfn.IFS($G117="__overall__",
SUMIFS(PremRes!$G$8:$G$208,PremRes!$B$8:$B$208,$G117,PremRes!$C$8:$C$208,$H117,PremRes!$F$8:$F$208,$I117,PremRes!$D$8:$D$208,T$12),
TRUE,
SUMIFS(PremRes!$G$8:$G$208,PremRes!$B$8:$B$208,"level_"&amp;$G117,PremRes!$C$8:$C$208,$H117,PremRes!$F$8:$F$208,$I117,PremRes!$D$8:$D$208,T$12))</f>
        <v>47372.188649348449</v>
      </c>
      <c r="U117" s="13" cm="1">
        <f t="array" ref="U117">_xlfn.IFS($G117="__overall__",
SUMIFS(PremRes!$G$8:$G$208,PremRes!$B$8:$B$208,$G117,PremRes!$C$8:$C$208,$H117,PremRes!$F$8:$F$208,$I117,PremRes!$D$8:$D$208,U$12),
TRUE,
SUMIFS(PremRes!$G$8:$G$208,PremRes!$B$8:$B$208,"level_"&amp;$G117,PremRes!$C$8:$C$208,$H117,PremRes!$F$8:$F$208,$I117,PremRes!$D$8:$D$208,U$12))</f>
        <v>26621.408536268864</v>
      </c>
      <c r="V117" s="13" cm="1">
        <f t="array" ref="V117">_xlfn.IFS($G117="__overall__",
SUMIFS(PremRes!$G$8:$G$208,PremRes!$B$8:$B$208,$G117,PremRes!$C$8:$C$208,$H117,PremRes!$F$8:$F$208,$I117,PremRes!$D$8:$D$208,V$12),
TRUE,
SUMIFS(PremRes!$G$8:$G$208,PremRes!$B$8:$B$208,"level_"&amp;$G117,PremRes!$C$8:$C$208,$H117,PremRes!$F$8:$F$208,$I117,PremRes!$D$8:$D$208,V$12))</f>
        <v>65298.410886846483</v>
      </c>
      <c r="X117" s="101">
        <f t="shared" si="11"/>
        <v>-4.6566128730773926E-10</v>
      </c>
      <c r="Y117" s="101">
        <f t="shared" si="9"/>
        <v>-2.3283064365386963E-10</v>
      </c>
      <c r="Z117" s="101">
        <f t="shared" si="10"/>
        <v>4.6566128730773926E-10</v>
      </c>
    </row>
    <row r="118" spans="6:26">
      <c r="F118" s="4">
        <v>105</v>
      </c>
      <c r="G118" s="4">
        <v>2</v>
      </c>
      <c r="H118" s="4" t="str">
        <v>eastern cape</v>
      </c>
      <c r="I118" s="4" t="str">
        <v>company_c</v>
      </c>
      <c r="K118" s="4">
        <v>105</v>
      </c>
      <c r="L118" s="13">
        <v>2078975.8092416162</v>
      </c>
      <c r="M118" s="13">
        <v>1000768.376082975</v>
      </c>
      <c r="N118" s="13">
        <v>2712436.0016097333</v>
      </c>
      <c r="O118" s="10"/>
      <c r="P118" s="13">
        <f t="shared" si="7"/>
        <v>85769.777533601038</v>
      </c>
      <c r="Q118" s="13">
        <f t="shared" si="12"/>
        <v>48150.356860960834</v>
      </c>
      <c r="R118" s="13">
        <f t="shared" si="8"/>
        <v>118172.86002831254</v>
      </c>
      <c r="S118" s="11"/>
      <c r="T118" s="13" cm="1">
        <f t="array" ref="T118">_xlfn.IFS($G118="__overall__",
SUMIFS(PremRes!$G$8:$G$208,PremRes!$B$8:$B$208,$G118,PremRes!$C$8:$C$208,$H118,PremRes!$F$8:$F$208,$I118,PremRes!$D$8:$D$208,T$12),
TRUE,
SUMIFS(PremRes!$G$8:$G$208,PremRes!$B$8:$B$208,"level_"&amp;$G118,PremRes!$C$8:$C$208,$H118,PremRes!$F$8:$F$208,$I118,PremRes!$D$8:$D$208,T$12))</f>
        <v>85769.777533601504</v>
      </c>
      <c r="U118" s="13" cm="1">
        <f t="array" ref="U118">_xlfn.IFS($G118="__overall__",
SUMIFS(PremRes!$G$8:$G$208,PremRes!$B$8:$B$208,$G118,PremRes!$C$8:$C$208,$H118,PremRes!$F$8:$F$208,$I118,PremRes!$D$8:$D$208,U$12),
TRUE,
SUMIFS(PremRes!$G$8:$G$208,PremRes!$B$8:$B$208,"level_"&amp;$G118,PremRes!$C$8:$C$208,$H118,PremRes!$F$8:$F$208,$I118,PremRes!$D$8:$D$208,U$12))</f>
        <v>48150.356860960717</v>
      </c>
      <c r="V118" s="13" cm="1">
        <f t="array" ref="V118">_xlfn.IFS($G118="__overall__",
SUMIFS(PremRes!$G$8:$G$208,PremRes!$B$8:$B$208,$G118,PremRes!$C$8:$C$208,$H118,PremRes!$F$8:$F$208,$I118,PremRes!$D$8:$D$208,V$12),
TRUE,
SUMIFS(PremRes!$G$8:$G$208,PremRes!$B$8:$B$208,"level_"&amp;$G118,PremRes!$C$8:$C$208,$H118,PremRes!$F$8:$F$208,$I118,PremRes!$D$8:$D$208,V$12))</f>
        <v>118172.86002831254</v>
      </c>
      <c r="X118" s="101">
        <f t="shared" si="11"/>
        <v>-4.6566128730773926E-10</v>
      </c>
      <c r="Y118" s="101">
        <f t="shared" si="9"/>
        <v>1.1641532182693481E-10</v>
      </c>
      <c r="Z118" s="101">
        <f t="shared" si="10"/>
        <v>0</v>
      </c>
    </row>
    <row r="119" spans="6:26">
      <c r="F119" s="4">
        <v>106</v>
      </c>
      <c r="G119" s="4">
        <v>2</v>
      </c>
      <c r="H119" s="4" t="str">
        <v>eastern cape</v>
      </c>
      <c r="I119" s="4" t="str">
        <v>company_d</v>
      </c>
      <c r="K119" s="4">
        <v>106</v>
      </c>
      <c r="L119" s="13">
        <v>1993206.0317080151</v>
      </c>
      <c r="M119" s="13">
        <v>952618.01922201412</v>
      </c>
      <c r="N119" s="13">
        <v>2594263.1415814208</v>
      </c>
      <c r="O119" s="10"/>
      <c r="P119" s="13">
        <f t="shared" si="7"/>
        <v>0</v>
      </c>
      <c r="Q119" s="13">
        <f t="shared" si="12"/>
        <v>0</v>
      </c>
      <c r="R119" s="13">
        <f t="shared" si="8"/>
        <v>0</v>
      </c>
      <c r="S119" s="11"/>
      <c r="T119" s="13" cm="1">
        <f t="array" ref="T119">_xlfn.IFS($G119="__overall__",
SUMIFS(PremRes!$G$8:$G$208,PremRes!$B$8:$B$208,$G119,PremRes!$C$8:$C$208,$H119,PremRes!$F$8:$F$208,$I119,PremRes!$D$8:$D$208,T$12),
TRUE,
SUMIFS(PremRes!$G$8:$G$208,PremRes!$B$8:$B$208,"level_"&amp;$G119,PremRes!$C$8:$C$208,$H119,PremRes!$F$8:$F$208,$I119,PremRes!$D$8:$D$208,T$12))</f>
        <v>0</v>
      </c>
      <c r="U119" s="13" cm="1">
        <f t="array" ref="U119">_xlfn.IFS($G119="__overall__",
SUMIFS(PremRes!$G$8:$G$208,PremRes!$B$8:$B$208,$G119,PremRes!$C$8:$C$208,$H119,PremRes!$F$8:$F$208,$I119,PremRes!$D$8:$D$208,U$12),
TRUE,
SUMIFS(PremRes!$G$8:$G$208,PremRes!$B$8:$B$208,"level_"&amp;$G119,PremRes!$C$8:$C$208,$H119,PremRes!$F$8:$F$208,$I119,PremRes!$D$8:$D$208,U$12))</f>
        <v>0</v>
      </c>
      <c r="V119" s="13" cm="1">
        <f t="array" ref="V119">_xlfn.IFS($G119="__overall__",
SUMIFS(PremRes!$G$8:$G$208,PremRes!$B$8:$B$208,$G119,PremRes!$C$8:$C$208,$H119,PremRes!$F$8:$F$208,$I119,PremRes!$D$8:$D$208,V$12),
TRUE,
SUMIFS(PremRes!$G$8:$G$208,PremRes!$B$8:$B$208,"level_"&amp;$G119,PremRes!$C$8:$C$208,$H119,PremRes!$F$8:$F$208,$I119,PremRes!$D$8:$D$208,V$12))</f>
        <v>0</v>
      </c>
      <c r="X119" s="101">
        <f t="shared" si="11"/>
        <v>0</v>
      </c>
      <c r="Y119" s="101">
        <f t="shared" si="9"/>
        <v>0</v>
      </c>
      <c r="Z119" s="101">
        <f t="shared" si="10"/>
        <v>0</v>
      </c>
    </row>
    <row r="120" spans="6:26">
      <c r="F120" s="4">
        <v>107</v>
      </c>
      <c r="G120" s="4">
        <v>2</v>
      </c>
      <c r="H120" s="4" t="str">
        <v>eastern cape</v>
      </c>
      <c r="I120" s="4" t="str">
        <v>company_e</v>
      </c>
      <c r="K120" s="4">
        <v>107</v>
      </c>
      <c r="L120" s="13">
        <v>1993206.0317080151</v>
      </c>
      <c r="M120" s="13">
        <v>952618.01922201412</v>
      </c>
      <c r="N120" s="13">
        <v>2594263.1415814208</v>
      </c>
      <c r="O120" s="10"/>
      <c r="P120" s="13">
        <f t="shared" si="7"/>
        <v>0</v>
      </c>
      <c r="Q120" s="13">
        <f t="shared" si="12"/>
        <v>0</v>
      </c>
      <c r="R120" s="13">
        <f t="shared" si="8"/>
        <v>0</v>
      </c>
      <c r="S120" s="11"/>
      <c r="T120" s="13" cm="1">
        <f t="array" ref="T120">_xlfn.IFS($G120="__overall__",
SUMIFS(PremRes!$G$8:$G$208,PremRes!$B$8:$B$208,$G120,PremRes!$C$8:$C$208,$H120,PremRes!$F$8:$F$208,$I120,PremRes!$D$8:$D$208,T$12),
TRUE,
SUMIFS(PremRes!$G$8:$G$208,PremRes!$B$8:$B$208,"level_"&amp;$G120,PremRes!$C$8:$C$208,$H120,PremRes!$F$8:$F$208,$I120,PremRes!$D$8:$D$208,T$12))</f>
        <v>0</v>
      </c>
      <c r="U120" s="13" cm="1">
        <f t="array" ref="U120">_xlfn.IFS($G120="__overall__",
SUMIFS(PremRes!$G$8:$G$208,PremRes!$B$8:$B$208,$G120,PremRes!$C$8:$C$208,$H120,PremRes!$F$8:$F$208,$I120,PremRes!$D$8:$D$208,U$12),
TRUE,
SUMIFS(PremRes!$G$8:$G$208,PremRes!$B$8:$B$208,"level_"&amp;$G120,PremRes!$C$8:$C$208,$H120,PremRes!$F$8:$F$208,$I120,PremRes!$D$8:$D$208,U$12))</f>
        <v>0</v>
      </c>
      <c r="V120" s="13" cm="1">
        <f t="array" ref="V120">_xlfn.IFS($G120="__overall__",
SUMIFS(PremRes!$G$8:$G$208,PremRes!$B$8:$B$208,$G120,PremRes!$C$8:$C$208,$H120,PremRes!$F$8:$F$208,$I120,PremRes!$D$8:$D$208,V$12),
TRUE,
SUMIFS(PremRes!$G$8:$G$208,PremRes!$B$8:$B$208,"level_"&amp;$G120,PremRes!$C$8:$C$208,$H120,PremRes!$F$8:$F$208,$I120,PremRes!$D$8:$D$208,V$12))</f>
        <v>0</v>
      </c>
      <c r="X120" s="101">
        <f t="shared" si="11"/>
        <v>0</v>
      </c>
      <c r="Y120" s="101">
        <f t="shared" si="9"/>
        <v>0</v>
      </c>
      <c r="Z120" s="101">
        <f t="shared" si="10"/>
        <v>0</v>
      </c>
    </row>
    <row r="121" spans="6:26">
      <c r="F121" s="4">
        <v>108</v>
      </c>
      <c r="G121" s="4">
        <v>2</v>
      </c>
      <c r="H121" s="4" t="str">
        <v>eastern cape</v>
      </c>
      <c r="I121" s="4" t="str">
        <v>company_g</v>
      </c>
      <c r="K121" s="4">
        <v>108</v>
      </c>
      <c r="L121" s="13">
        <v>1993206.0317080151</v>
      </c>
      <c r="M121" s="13">
        <v>952618.01922201412</v>
      </c>
      <c r="N121" s="13">
        <v>2594263.1415814208</v>
      </c>
      <c r="O121" s="10"/>
      <c r="P121" s="13">
        <f t="shared" si="7"/>
        <v>0</v>
      </c>
      <c r="Q121" s="13">
        <f t="shared" si="12"/>
        <v>0</v>
      </c>
      <c r="R121" s="13">
        <f t="shared" si="8"/>
        <v>0</v>
      </c>
      <c r="S121" s="11"/>
      <c r="T121" s="13" cm="1">
        <f t="array" ref="T121">_xlfn.IFS($G121="__overall__",
SUMIFS(PremRes!$G$8:$G$208,PremRes!$B$8:$B$208,$G121,PremRes!$C$8:$C$208,$H121,PremRes!$F$8:$F$208,$I121,PremRes!$D$8:$D$208,T$12),
TRUE,
SUMIFS(PremRes!$G$8:$G$208,PremRes!$B$8:$B$208,"level_"&amp;$G121,PremRes!$C$8:$C$208,$H121,PremRes!$F$8:$F$208,$I121,PremRes!$D$8:$D$208,T$12))</f>
        <v>0</v>
      </c>
      <c r="U121" s="13" cm="1">
        <f t="array" ref="U121">_xlfn.IFS($G121="__overall__",
SUMIFS(PremRes!$G$8:$G$208,PremRes!$B$8:$B$208,$G121,PremRes!$C$8:$C$208,$H121,PremRes!$F$8:$F$208,$I121,PremRes!$D$8:$D$208,U$12),
TRUE,
SUMIFS(PremRes!$G$8:$G$208,PremRes!$B$8:$B$208,"level_"&amp;$G121,PremRes!$C$8:$C$208,$H121,PremRes!$F$8:$F$208,$I121,PremRes!$D$8:$D$208,U$12))</f>
        <v>0</v>
      </c>
      <c r="V121" s="13" cm="1">
        <f t="array" ref="V121">_xlfn.IFS($G121="__overall__",
SUMIFS(PremRes!$G$8:$G$208,PremRes!$B$8:$B$208,$G121,PremRes!$C$8:$C$208,$H121,PremRes!$F$8:$F$208,$I121,PremRes!$D$8:$D$208,V$12),
TRUE,
SUMIFS(PremRes!$G$8:$G$208,PremRes!$B$8:$B$208,"level_"&amp;$G121,PremRes!$C$8:$C$208,$H121,PremRes!$F$8:$F$208,$I121,PremRes!$D$8:$D$208,V$12))</f>
        <v>0</v>
      </c>
      <c r="X121" s="101">
        <f t="shared" si="11"/>
        <v>0</v>
      </c>
      <c r="Y121" s="101">
        <f t="shared" si="9"/>
        <v>0</v>
      </c>
      <c r="Z121" s="101">
        <f t="shared" si="10"/>
        <v>0</v>
      </c>
    </row>
    <row r="122" spans="6:26">
      <c r="F122" s="4">
        <v>109</v>
      </c>
      <c r="G122" s="4" t="str">
        <v>__overall__</v>
      </c>
      <c r="H122" s="4" t="str">
        <v>__overall__</v>
      </c>
      <c r="I122" s="4" t="str">
        <v>gross charge</v>
      </c>
      <c r="K122" s="4">
        <v>109</v>
      </c>
      <c r="L122" s="13">
        <v>21653732.9697771</v>
      </c>
      <c r="M122" s="13">
        <v>8321100.1445485316</v>
      </c>
      <c r="N122" s="13">
        <v>26906631.710481327</v>
      </c>
      <c r="O122" s="10"/>
      <c r="P122" s="13">
        <f t="shared" si="7"/>
        <v>21653732.9697771</v>
      </c>
      <c r="Q122" s="13">
        <f t="shared" si="12"/>
        <v>8321100.1445485316</v>
      </c>
      <c r="R122" s="13">
        <f t="shared" si="8"/>
        <v>26906631.710481327</v>
      </c>
      <c r="S122" s="11"/>
      <c r="T122" s="13" cm="1">
        <f t="array" ref="T122">_xlfn.IFS($G122="__overall__",
SUMIFS(PremRes!$G$8:$G$208,PremRes!$B$8:$B$208,$G122,PremRes!$C$8:$C$208,$H122,PremRes!$F$8:$F$208,$I122,PremRes!$D$8:$D$208,T$12),
TRUE,
SUMIFS(PremRes!$G$8:$G$208,PremRes!$B$8:$B$208,"level_"&amp;$G122,PremRes!$C$8:$C$208,$H122,PremRes!$F$8:$F$208,$I122,PremRes!$D$8:$D$208,T$12))</f>
        <v>21653732.969777104</v>
      </c>
      <c r="U122" s="13" cm="1">
        <f t="array" ref="U122">_xlfn.IFS($G122="__overall__",
SUMIFS(PremRes!$G$8:$G$208,PremRes!$B$8:$B$208,$G122,PremRes!$C$8:$C$208,$H122,PremRes!$F$8:$F$208,$I122,PremRes!$D$8:$D$208,U$12),
TRUE,
SUMIFS(PremRes!$G$8:$G$208,PremRes!$B$8:$B$208,"level_"&amp;$G122,PremRes!$C$8:$C$208,$H122,PremRes!$F$8:$F$208,$I122,PremRes!$D$8:$D$208,U$12))</f>
        <v>8321100.1445485316</v>
      </c>
      <c r="V122" s="13" cm="1">
        <f t="array" ref="V122">_xlfn.IFS($G122="__overall__",
SUMIFS(PremRes!$G$8:$G$208,PremRes!$B$8:$B$208,$G122,PremRes!$C$8:$C$208,$H122,PremRes!$F$8:$F$208,$I122,PremRes!$D$8:$D$208,V$12),
TRUE,
SUMIFS(PremRes!$G$8:$G$208,PremRes!$B$8:$B$208,"level_"&amp;$G122,PremRes!$C$8:$C$208,$H122,PremRes!$F$8:$F$208,$I122,PremRes!$D$8:$D$208,V$12))</f>
        <v>26906631.710481331</v>
      </c>
      <c r="X122" s="101">
        <f t="shared" si="11"/>
        <v>0</v>
      </c>
      <c r="Y122" s="101">
        <f t="shared" si="9"/>
        <v>0</v>
      </c>
      <c r="Z122" s="101">
        <f t="shared" si="10"/>
        <v>0</v>
      </c>
    </row>
    <row r="123" spans="6:26">
      <c r="F123" s="4">
        <v>110</v>
      </c>
      <c r="G123" s="4" t="str">
        <v>__overall__</v>
      </c>
      <c r="H123" s="4" t="str">
        <v>__overall__</v>
      </c>
      <c r="I123" s="4" t="str">
        <v>net charge</v>
      </c>
      <c r="K123" s="4">
        <v>110</v>
      </c>
      <c r="L123" s="13">
        <v>18946925.477271833</v>
      </c>
      <c r="M123" s="13">
        <v>6926781.1590251699</v>
      </c>
      <c r="N123" s="13">
        <v>23259405.792210415</v>
      </c>
      <c r="O123" s="10"/>
      <c r="P123" s="13">
        <f t="shared" si="7"/>
        <v>18946925.477271833</v>
      </c>
      <c r="Q123" s="13">
        <f t="shared" si="12"/>
        <v>6926781.1590251699</v>
      </c>
      <c r="R123" s="13">
        <f t="shared" si="8"/>
        <v>23259405.792210415</v>
      </c>
      <c r="S123" s="11"/>
      <c r="T123" s="13" cm="1">
        <f t="array" ref="T123">_xlfn.IFS($G123="__overall__",
SUMIFS(PremRes!$G$8:$G$208,PremRes!$B$8:$B$208,$G123,PremRes!$C$8:$C$208,$H123,PremRes!$F$8:$F$208,$I123,PremRes!$D$8:$D$208,T$12),
TRUE,
SUMIFS(PremRes!$G$8:$G$208,PremRes!$B$8:$B$208,"level_"&amp;$G123,PremRes!$C$8:$C$208,$H123,PremRes!$F$8:$F$208,$I123,PremRes!$D$8:$D$208,T$12))</f>
        <v>18946925.477271833</v>
      </c>
      <c r="U123" s="13" cm="1">
        <f t="array" ref="U123">_xlfn.IFS($G123="__overall__",
SUMIFS(PremRes!$G$8:$G$208,PremRes!$B$8:$B$208,$G123,PremRes!$C$8:$C$208,$H123,PremRes!$F$8:$F$208,$I123,PremRes!$D$8:$D$208,U$12),
TRUE,
SUMIFS(PremRes!$G$8:$G$208,PremRes!$B$8:$B$208,"level_"&amp;$G123,PremRes!$C$8:$C$208,$H123,PremRes!$F$8:$F$208,$I123,PremRes!$D$8:$D$208,U$12))</f>
        <v>6926781.159025169</v>
      </c>
      <c r="V123" s="13" cm="1">
        <f t="array" ref="V123">_xlfn.IFS($G123="__overall__",
SUMIFS(PremRes!$G$8:$G$208,PremRes!$B$8:$B$208,$G123,PremRes!$C$8:$C$208,$H123,PremRes!$F$8:$F$208,$I123,PremRes!$D$8:$D$208,V$12),
TRUE,
SUMIFS(PremRes!$G$8:$G$208,PremRes!$B$8:$B$208,"level_"&amp;$G123,PremRes!$C$8:$C$208,$H123,PremRes!$F$8:$F$208,$I123,PremRes!$D$8:$D$208,V$12))</f>
        <v>23259405.792210422</v>
      </c>
      <c r="X123" s="101">
        <f t="shared" si="11"/>
        <v>0</v>
      </c>
      <c r="Y123" s="101">
        <f t="shared" si="9"/>
        <v>0</v>
      </c>
      <c r="Z123" s="101">
        <f t="shared" si="10"/>
        <v>0</v>
      </c>
    </row>
    <row r="124" spans="6:26">
      <c r="F124" s="4">
        <v>111</v>
      </c>
      <c r="G124" s="4" t="str">
        <v>__overall__</v>
      </c>
      <c r="H124" s="4" t="str">
        <v>__overall__</v>
      </c>
      <c r="I124" s="4" t="str">
        <v>calculated net charge</v>
      </c>
      <c r="K124" s="4">
        <v>111</v>
      </c>
      <c r="L124" s="13">
        <v>18775007.631600838</v>
      </c>
      <c r="M124" s="13">
        <v>7054112.7114529191</v>
      </c>
      <c r="N124" s="13">
        <v>23213147.350329429</v>
      </c>
      <c r="O124" s="10"/>
      <c r="P124" s="13">
        <f t="shared" si="7"/>
        <v>18775007.631600838</v>
      </c>
      <c r="Q124" s="13">
        <f t="shared" si="12"/>
        <v>7054112.7114529191</v>
      </c>
      <c r="R124" s="13">
        <f t="shared" si="8"/>
        <v>23213147.350329429</v>
      </c>
      <c r="S124" s="11"/>
      <c r="T124" s="13" cm="1">
        <f t="array" ref="T124">_xlfn.IFS($G124="__overall__",
SUMIFS(PremRes!$G$8:$G$208,PremRes!$B$8:$B$208,$G124,PremRes!$C$8:$C$208,$H124,PremRes!$F$8:$F$208,$I124,PremRes!$D$8:$D$208,T$12),
TRUE,
SUMIFS(PremRes!$G$8:$G$208,PremRes!$B$8:$B$208,"level_"&amp;$G124,PremRes!$C$8:$C$208,$H124,PremRes!$F$8:$F$208,$I124,PremRes!$D$8:$D$208,T$12))</f>
        <v>18775007.631600846</v>
      </c>
      <c r="U124" s="13" cm="1">
        <f t="array" ref="U124">_xlfn.IFS($G124="__overall__",
SUMIFS(PremRes!$G$8:$G$208,PremRes!$B$8:$B$208,$G124,PremRes!$C$8:$C$208,$H124,PremRes!$F$8:$F$208,$I124,PremRes!$D$8:$D$208,U$12),
TRUE,
SUMIFS(PremRes!$G$8:$G$208,PremRes!$B$8:$B$208,"level_"&amp;$G124,PremRes!$C$8:$C$208,$H124,PremRes!$F$8:$F$208,$I124,PremRes!$D$8:$D$208,U$12))</f>
        <v>7054112.71145292</v>
      </c>
      <c r="V124" s="13" cm="1">
        <f t="array" ref="V124">_xlfn.IFS($G124="__overall__",
SUMIFS(PremRes!$G$8:$G$208,PremRes!$B$8:$B$208,$G124,PremRes!$C$8:$C$208,$H124,PremRes!$F$8:$F$208,$I124,PremRes!$D$8:$D$208,V$12),
TRUE,
SUMIFS(PremRes!$G$8:$G$208,PremRes!$B$8:$B$208,"level_"&amp;$G124,PremRes!$C$8:$C$208,$H124,PremRes!$F$8:$F$208,$I124,PremRes!$D$8:$D$208,V$12))</f>
        <v>23213147.350329429</v>
      </c>
      <c r="X124" s="101">
        <f t="shared" si="11"/>
        <v>0</v>
      </c>
      <c r="Y124" s="101">
        <f t="shared" si="9"/>
        <v>0</v>
      </c>
      <c r="Z124" s="101">
        <f t="shared" si="10"/>
        <v>0</v>
      </c>
    </row>
    <row r="125" spans="6:26">
      <c r="F125" s="4">
        <v>112</v>
      </c>
      <c r="G125" s="4" t="str">
        <v>__overall__</v>
      </c>
      <c r="H125" s="4" t="str">
        <v>__overall__</v>
      </c>
      <c r="I125" s="4" t="str">
        <v>company_a</v>
      </c>
      <c r="K125" s="4">
        <v>112</v>
      </c>
      <c r="L125" s="13">
        <v>20006982.436019648</v>
      </c>
      <c r="M125" s="13">
        <v>7595490.9357789904</v>
      </c>
      <c r="N125" s="13">
        <v>24794929.589254111</v>
      </c>
      <c r="O125" s="10"/>
      <c r="P125" s="13">
        <f t="shared" si="7"/>
        <v>1231974.8044188097</v>
      </c>
      <c r="Q125" s="13">
        <f t="shared" si="12"/>
        <v>541378.22432607133</v>
      </c>
      <c r="R125" s="13">
        <f t="shared" si="8"/>
        <v>1581782.2389246821</v>
      </c>
      <c r="S125" s="11"/>
      <c r="T125" s="13" cm="1">
        <f t="array" ref="T125">_xlfn.IFS($G125="__overall__",
SUMIFS(PremRes!$G$8:$G$208,PremRes!$B$8:$B$208,$G125,PremRes!$C$8:$C$208,$H125,PremRes!$F$8:$F$208,$I125,PremRes!$D$8:$D$208,T$12),
TRUE,
SUMIFS(PremRes!$G$8:$G$208,PremRes!$B$8:$B$208,"level_"&amp;$G125,PremRes!$C$8:$C$208,$H125,PremRes!$F$8:$F$208,$I125,PremRes!$D$8:$D$208,T$12))</f>
        <v>1231974.8044187985</v>
      </c>
      <c r="U125" s="13" cm="1">
        <f t="array" ref="U125">_xlfn.IFS($G125="__overall__",
SUMIFS(PremRes!$G$8:$G$208,PremRes!$B$8:$B$208,$G125,PremRes!$C$8:$C$208,$H125,PremRes!$F$8:$F$208,$I125,PremRes!$D$8:$D$208,U$12),
TRUE,
SUMIFS(PremRes!$G$8:$G$208,PremRes!$B$8:$B$208,"level_"&amp;$G125,PremRes!$C$8:$C$208,$H125,PremRes!$F$8:$F$208,$I125,PremRes!$D$8:$D$208,U$12))</f>
        <v>541378.22432607133</v>
      </c>
      <c r="V125" s="13" cm="1">
        <f t="array" ref="V125">_xlfn.IFS($G125="__overall__",
SUMIFS(PremRes!$G$8:$G$208,PremRes!$B$8:$B$208,$G125,PremRes!$C$8:$C$208,$H125,PremRes!$F$8:$F$208,$I125,PremRes!$D$8:$D$208,V$12),
TRUE,
SUMIFS(PremRes!$G$8:$G$208,PremRes!$B$8:$B$208,"level_"&amp;$G125,PremRes!$C$8:$C$208,$H125,PremRes!$F$8:$F$208,$I125,PremRes!$D$8:$D$208,V$12))</f>
        <v>1581782.2389246784</v>
      </c>
      <c r="X125" s="101">
        <f t="shared" si="11"/>
        <v>1.1175870895385742E-8</v>
      </c>
      <c r="Y125" s="101">
        <f t="shared" si="9"/>
        <v>0</v>
      </c>
      <c r="Z125" s="101">
        <f t="shared" si="10"/>
        <v>3.7252902984619141E-9</v>
      </c>
    </row>
    <row r="126" spans="6:26">
      <c r="F126" s="4">
        <v>113</v>
      </c>
      <c r="G126" s="4" t="str">
        <v>__overall__</v>
      </c>
      <c r="H126" s="4" t="str">
        <v>__overall__</v>
      </c>
      <c r="I126" s="4" t="str">
        <v>company_b</v>
      </c>
      <c r="K126" s="4">
        <v>113</v>
      </c>
      <c r="L126" s="13">
        <v>19989635.391589828</v>
      </c>
      <c r="M126" s="13">
        <v>7588504.4795748312</v>
      </c>
      <c r="N126" s="13">
        <v>24772069.024900481</v>
      </c>
      <c r="O126" s="10"/>
      <c r="P126" s="13">
        <f t="shared" si="7"/>
        <v>1214627.7599889897</v>
      </c>
      <c r="Q126" s="13">
        <f t="shared" si="12"/>
        <v>534391.76812191214</v>
      </c>
      <c r="R126" s="13">
        <f t="shared" si="8"/>
        <v>1558921.6745710522</v>
      </c>
      <c r="S126" s="11"/>
      <c r="T126" s="13" cm="1">
        <f t="array" ref="T126">_xlfn.IFS($G126="__overall__",
SUMIFS(PremRes!$G$8:$G$208,PremRes!$B$8:$B$208,$G126,PremRes!$C$8:$C$208,$H126,PremRes!$F$8:$F$208,$I126,PremRes!$D$8:$D$208,T$12),
TRUE,
SUMIFS(PremRes!$G$8:$G$208,PremRes!$B$8:$B$208,"level_"&amp;$G126,PremRes!$C$8:$C$208,$H126,PremRes!$F$8:$F$208,$I126,PremRes!$D$8:$D$208,T$12))</f>
        <v>1214627.7599889748</v>
      </c>
      <c r="U126" s="13" cm="1">
        <f t="array" ref="U126">_xlfn.IFS($G126="__overall__",
SUMIFS(PremRes!$G$8:$G$208,PremRes!$B$8:$B$208,$G126,PremRes!$C$8:$C$208,$H126,PremRes!$F$8:$F$208,$I126,PremRes!$D$8:$D$208,U$12),
TRUE,
SUMIFS(PremRes!$G$8:$G$208,PremRes!$B$8:$B$208,"level_"&amp;$G126,PremRes!$C$8:$C$208,$H126,PremRes!$F$8:$F$208,$I126,PremRes!$D$8:$D$208,U$12))</f>
        <v>534391.76812191028</v>
      </c>
      <c r="V126" s="13" cm="1">
        <f t="array" ref="V126">_xlfn.IFS($G126="__overall__",
SUMIFS(PremRes!$G$8:$G$208,PremRes!$B$8:$B$208,$G126,PremRes!$C$8:$C$208,$H126,PremRes!$F$8:$F$208,$I126,PremRes!$D$8:$D$208,V$12),
TRUE,
SUMIFS(PremRes!$G$8:$G$208,PremRes!$B$8:$B$208,"level_"&amp;$G126,PremRes!$C$8:$C$208,$H126,PremRes!$F$8:$F$208,$I126,PremRes!$D$8:$D$208,V$12))</f>
        <v>1558921.6745710447</v>
      </c>
      <c r="X126" s="101">
        <f t="shared" si="11"/>
        <v>1.4901161193847656E-8</v>
      </c>
      <c r="Y126" s="101">
        <f t="shared" si="9"/>
        <v>1.862645149230957E-9</v>
      </c>
      <c r="Z126" s="101">
        <f t="shared" si="10"/>
        <v>7.4505805969238281E-9</v>
      </c>
    </row>
    <row r="127" spans="6:26">
      <c r="F127" s="4">
        <v>114</v>
      </c>
      <c r="G127" s="4" t="str">
        <v>__overall__</v>
      </c>
      <c r="H127" s="4" t="str">
        <v>__overall__</v>
      </c>
      <c r="I127" s="4" t="str">
        <v>company_c</v>
      </c>
      <c r="K127" s="4">
        <v>114</v>
      </c>
      <c r="L127" s="13">
        <v>19193186.073900726</v>
      </c>
      <c r="M127" s="13">
        <v>7239570.5342876054</v>
      </c>
      <c r="N127" s="13">
        <v>23749064.903361782</v>
      </c>
      <c r="O127" s="10"/>
      <c r="P127" s="13">
        <f t="shared" si="7"/>
        <v>418178.44229988754</v>
      </c>
      <c r="Q127" s="13">
        <f t="shared" si="12"/>
        <v>185457.82283468638</v>
      </c>
      <c r="R127" s="13">
        <f t="shared" si="8"/>
        <v>535917.55303235352</v>
      </c>
      <c r="S127" s="11"/>
      <c r="T127" s="13" cm="1">
        <f t="array" ref="T127">_xlfn.IFS($G127="__overall__",
SUMIFS(PremRes!$G$8:$G$208,PremRes!$B$8:$B$208,$G127,PremRes!$C$8:$C$208,$H127,PremRes!$F$8:$F$208,$I127,PremRes!$D$8:$D$208,T$12),
TRUE,
SUMIFS(PremRes!$G$8:$G$208,PremRes!$B$8:$B$208,"level_"&amp;$G127,PremRes!$C$8:$C$208,$H127,PremRes!$F$8:$F$208,$I127,PremRes!$D$8:$D$208,T$12))</f>
        <v>418178.44229988009</v>
      </c>
      <c r="U127" s="13" cm="1">
        <f t="array" ref="U127">_xlfn.IFS($G127="__overall__",
SUMIFS(PremRes!$G$8:$G$208,PremRes!$B$8:$B$208,$G127,PremRes!$C$8:$C$208,$H127,PremRes!$F$8:$F$208,$I127,PremRes!$D$8:$D$208,U$12),
TRUE,
SUMIFS(PremRes!$G$8:$G$208,PremRes!$B$8:$B$208,"level_"&amp;$G127,PremRes!$C$8:$C$208,$H127,PremRes!$F$8:$F$208,$I127,PremRes!$D$8:$D$208,U$12))</f>
        <v>185457.82283468544</v>
      </c>
      <c r="V127" s="13" cm="1">
        <f t="array" ref="V127">_xlfn.IFS($G127="__overall__",
SUMIFS(PremRes!$G$8:$G$208,PremRes!$B$8:$B$208,$G127,PremRes!$C$8:$C$208,$H127,PremRes!$F$8:$F$208,$I127,PremRes!$D$8:$D$208,V$12),
TRUE,
SUMIFS(PremRes!$G$8:$G$208,PremRes!$B$8:$B$208,"level_"&amp;$G127,PremRes!$C$8:$C$208,$H127,PremRes!$F$8:$F$208,$I127,PremRes!$D$8:$D$208,V$12))</f>
        <v>535917.55303235352</v>
      </c>
      <c r="X127" s="101">
        <f t="shared" si="11"/>
        <v>7.4505805969238281E-9</v>
      </c>
      <c r="Y127" s="101">
        <f t="shared" si="9"/>
        <v>9.3132257461547852E-10</v>
      </c>
      <c r="Z127" s="101">
        <f t="shared" si="10"/>
        <v>0</v>
      </c>
    </row>
    <row r="128" spans="6:26">
      <c r="F128" s="4">
        <v>115</v>
      </c>
      <c r="G128" s="4" t="str">
        <v>__overall__</v>
      </c>
      <c r="H128" s="4" t="str">
        <v>__overall__</v>
      </c>
      <c r="I128" s="4" t="str">
        <v>company_d</v>
      </c>
      <c r="K128" s="4">
        <v>115</v>
      </c>
      <c r="L128" s="13">
        <v>18775007.631600838</v>
      </c>
      <c r="M128" s="13">
        <v>7054112.7114529191</v>
      </c>
      <c r="N128" s="13">
        <v>23213147.350329429</v>
      </c>
      <c r="O128" s="10"/>
      <c r="P128" s="13">
        <f t="shared" si="7"/>
        <v>0</v>
      </c>
      <c r="Q128" s="13">
        <f t="shared" si="12"/>
        <v>0</v>
      </c>
      <c r="R128" s="13">
        <f t="shared" si="8"/>
        <v>0</v>
      </c>
      <c r="S128" s="11"/>
      <c r="T128" s="13" cm="1">
        <f t="array" ref="T128">_xlfn.IFS($G128="__overall__",
SUMIFS(PremRes!$G$8:$G$208,PremRes!$B$8:$B$208,$G128,PremRes!$C$8:$C$208,$H128,PremRes!$F$8:$F$208,$I128,PremRes!$D$8:$D$208,T$12),
TRUE,
SUMIFS(PremRes!$G$8:$G$208,PremRes!$B$8:$B$208,"level_"&amp;$G128,PremRes!$C$8:$C$208,$H128,PremRes!$F$8:$F$208,$I128,PremRes!$D$8:$D$208,T$12))</f>
        <v>0</v>
      </c>
      <c r="U128" s="13" cm="1">
        <f t="array" ref="U128">_xlfn.IFS($G128="__overall__",
SUMIFS(PremRes!$G$8:$G$208,PremRes!$B$8:$B$208,$G128,PremRes!$C$8:$C$208,$H128,PremRes!$F$8:$F$208,$I128,PremRes!$D$8:$D$208,U$12),
TRUE,
SUMIFS(PremRes!$G$8:$G$208,PremRes!$B$8:$B$208,"level_"&amp;$G128,PremRes!$C$8:$C$208,$H128,PremRes!$F$8:$F$208,$I128,PremRes!$D$8:$D$208,U$12))</f>
        <v>0</v>
      </c>
      <c r="V128" s="13" cm="1">
        <f t="array" ref="V128">_xlfn.IFS($G128="__overall__",
SUMIFS(PremRes!$G$8:$G$208,PremRes!$B$8:$B$208,$G128,PremRes!$C$8:$C$208,$H128,PremRes!$F$8:$F$208,$I128,PremRes!$D$8:$D$208,V$12),
TRUE,
SUMIFS(PremRes!$G$8:$G$208,PremRes!$B$8:$B$208,"level_"&amp;$G128,PremRes!$C$8:$C$208,$H128,PremRes!$F$8:$F$208,$I128,PremRes!$D$8:$D$208,V$12))</f>
        <v>0</v>
      </c>
      <c r="X128" s="101">
        <f t="shared" si="11"/>
        <v>0</v>
      </c>
      <c r="Y128" s="101">
        <f t="shared" si="9"/>
        <v>0</v>
      </c>
      <c r="Z128" s="101">
        <f t="shared" si="10"/>
        <v>0</v>
      </c>
    </row>
    <row r="129" spans="6:26">
      <c r="F129" s="4">
        <v>116</v>
      </c>
      <c r="G129" s="4" t="str">
        <v>__overall__</v>
      </c>
      <c r="H129" s="4" t="str">
        <v>__overall__</v>
      </c>
      <c r="I129" s="4" t="str">
        <v>company_e</v>
      </c>
      <c r="K129" s="4">
        <v>116</v>
      </c>
      <c r="L129" s="13">
        <v>18775007.631600838</v>
      </c>
      <c r="M129" s="13">
        <v>7054112.7114529191</v>
      </c>
      <c r="N129" s="13">
        <v>23213147.350329429</v>
      </c>
      <c r="O129" s="10"/>
      <c r="P129" s="13">
        <f t="shared" si="7"/>
        <v>0</v>
      </c>
      <c r="Q129" s="13">
        <f t="shared" si="12"/>
        <v>0</v>
      </c>
      <c r="R129" s="13">
        <f t="shared" si="8"/>
        <v>0</v>
      </c>
      <c r="S129" s="11"/>
      <c r="T129" s="13" cm="1">
        <f t="array" ref="T129">_xlfn.IFS($G129="__overall__",
SUMIFS(PremRes!$G$8:$G$208,PremRes!$B$8:$B$208,$G129,PremRes!$C$8:$C$208,$H129,PremRes!$F$8:$F$208,$I129,PremRes!$D$8:$D$208,T$12),
TRUE,
SUMIFS(PremRes!$G$8:$G$208,PremRes!$B$8:$B$208,"level_"&amp;$G129,PremRes!$C$8:$C$208,$H129,PremRes!$F$8:$F$208,$I129,PremRes!$D$8:$D$208,T$12))</f>
        <v>0</v>
      </c>
      <c r="U129" s="13" cm="1">
        <f t="array" ref="U129">_xlfn.IFS($G129="__overall__",
SUMIFS(PremRes!$G$8:$G$208,PremRes!$B$8:$B$208,$G129,PremRes!$C$8:$C$208,$H129,PremRes!$F$8:$F$208,$I129,PremRes!$D$8:$D$208,U$12),
TRUE,
SUMIFS(PremRes!$G$8:$G$208,PremRes!$B$8:$B$208,"level_"&amp;$G129,PremRes!$C$8:$C$208,$H129,PremRes!$F$8:$F$208,$I129,PremRes!$D$8:$D$208,U$12))</f>
        <v>0</v>
      </c>
      <c r="V129" s="13" cm="1">
        <f t="array" ref="V129">_xlfn.IFS($G129="__overall__",
SUMIFS(PremRes!$G$8:$G$208,PremRes!$B$8:$B$208,$G129,PremRes!$C$8:$C$208,$H129,PremRes!$F$8:$F$208,$I129,PremRes!$D$8:$D$208,V$12),
TRUE,
SUMIFS(PremRes!$G$8:$G$208,PremRes!$B$8:$B$208,"level_"&amp;$G129,PremRes!$C$8:$C$208,$H129,PremRes!$F$8:$F$208,$I129,PremRes!$D$8:$D$208,V$12))</f>
        <v>0</v>
      </c>
      <c r="X129" s="101">
        <f t="shared" si="11"/>
        <v>0</v>
      </c>
      <c r="Y129" s="101">
        <f t="shared" si="9"/>
        <v>0</v>
      </c>
      <c r="Z129" s="101">
        <f t="shared" si="10"/>
        <v>0</v>
      </c>
    </row>
    <row r="130" spans="6:26">
      <c r="F130" s="7">
        <v>117</v>
      </c>
      <c r="G130" s="7" t="str">
        <v>__overall__</v>
      </c>
      <c r="H130" s="7" t="str">
        <v>__overall__</v>
      </c>
      <c r="I130" s="7" t="str">
        <v>company_g</v>
      </c>
      <c r="K130" s="7">
        <v>117</v>
      </c>
      <c r="L130" s="87">
        <v>18775007.631600838</v>
      </c>
      <c r="M130" s="87">
        <v>7054112.7114529191</v>
      </c>
      <c r="N130" s="87">
        <v>23213147.350329429</v>
      </c>
      <c r="O130" s="10"/>
      <c r="P130" s="87">
        <f t="shared" si="7"/>
        <v>0</v>
      </c>
      <c r="Q130" s="87">
        <f t="shared" si="12"/>
        <v>0</v>
      </c>
      <c r="R130" s="87">
        <f t="shared" si="8"/>
        <v>0</v>
      </c>
      <c r="S130" s="11"/>
      <c r="T130" s="87" cm="1">
        <f t="array" ref="T130">_xlfn.IFS($G130="__overall__",
SUMIFS(PremRes!$G$8:$G$208,PremRes!$B$8:$B$208,$G130,PremRes!$C$8:$C$208,$H130,PremRes!$F$8:$F$208,$I130,PremRes!$D$8:$D$208,T$12),
TRUE,
SUMIFS(PremRes!$G$8:$G$208,PremRes!$B$8:$B$208,"level_"&amp;$G130,PremRes!$C$8:$C$208,$H130,PremRes!$F$8:$F$208,$I130,PremRes!$D$8:$D$208,T$12))</f>
        <v>0</v>
      </c>
      <c r="U130" s="87" cm="1">
        <f t="array" ref="U130">_xlfn.IFS($G130="__overall__",
SUMIFS(PremRes!$G$8:$G$208,PremRes!$B$8:$B$208,$G130,PremRes!$C$8:$C$208,$H130,PremRes!$F$8:$F$208,$I130,PremRes!$D$8:$D$208,U$12),
TRUE,
SUMIFS(PremRes!$G$8:$G$208,PremRes!$B$8:$B$208,"level_"&amp;$G130,PremRes!$C$8:$C$208,$H130,PremRes!$F$8:$F$208,$I130,PremRes!$D$8:$D$208,U$12))</f>
        <v>0</v>
      </c>
      <c r="V130" s="87" cm="1">
        <f t="array" ref="V130">_xlfn.IFS($G130="__overall__",
SUMIFS(PremRes!$G$8:$G$208,PremRes!$B$8:$B$208,$G130,PremRes!$C$8:$C$208,$H130,PremRes!$F$8:$F$208,$I130,PremRes!$D$8:$D$208,V$12),
TRUE,
SUMIFS(PremRes!$G$8:$G$208,PremRes!$B$8:$B$208,"level_"&amp;$G130,PremRes!$C$8:$C$208,$H130,PremRes!$F$8:$F$208,$I130,PremRes!$D$8:$D$208,V$12))</f>
        <v>0</v>
      </c>
      <c r="X130" s="102">
        <f t="shared" si="11"/>
        <v>0</v>
      </c>
      <c r="Y130" s="102">
        <f t="shared" si="9"/>
        <v>0</v>
      </c>
      <c r="Z130" s="102">
        <f t="shared" si="10"/>
        <v>0</v>
      </c>
    </row>
  </sheetData>
  <mergeCells count="6">
    <mergeCell ref="P10:R10"/>
    <mergeCell ref="T10:V10"/>
    <mergeCell ref="X10:Z10"/>
    <mergeCell ref="A10:B10"/>
    <mergeCell ref="F10:I10"/>
    <mergeCell ref="K10:N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52845-DDDD-47C3-A767-78021B55F872}">
  <sheetPr codeName="Sheet32">
    <tabColor theme="8" tint="0.79998168889431442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404AA-0FE0-41BA-85FF-C88F2208FB03}">
  <sheetPr codeName="Sheet29"/>
  <dimension ref="A1:Q19"/>
  <sheetViews>
    <sheetView workbookViewId="0">
      <pane ySplit="1" topLeftCell="A2" activePane="bottomLeft" state="frozen"/>
      <selection pane="bottomLeft" activeCell="D21" sqref="D21"/>
    </sheetView>
  </sheetViews>
  <sheetFormatPr defaultRowHeight="14.5"/>
  <cols>
    <col min="1" max="1" width="20.6328125" customWidth="1"/>
    <col min="2" max="2" width="35.6328125" customWidth="1"/>
    <col min="3" max="3" width="8.6328125" customWidth="1"/>
    <col min="4" max="4" width="10.6328125" customWidth="1"/>
    <col min="5" max="11" width="12.6328125" customWidth="1"/>
  </cols>
  <sheetData>
    <row r="1" spans="1:17" ht="18.5">
      <c r="A1" s="104" t="s">
        <v>264</v>
      </c>
      <c r="B1" s="104" t="s">
        <v>265</v>
      </c>
      <c r="C1" s="104" t="s">
        <v>189</v>
      </c>
      <c r="D1" s="104" t="s">
        <v>266</v>
      </c>
      <c r="E1" s="104" t="s">
        <v>267</v>
      </c>
      <c r="F1" s="104" t="s">
        <v>268</v>
      </c>
      <c r="G1" s="104" t="s">
        <v>269</v>
      </c>
      <c r="H1" s="104" t="s">
        <v>270</v>
      </c>
      <c r="I1" s="104" t="s">
        <v>271</v>
      </c>
      <c r="J1" s="104" t="s">
        <v>272</v>
      </c>
      <c r="K1" s="104" t="s">
        <v>273</v>
      </c>
      <c r="N1" s="103" t="s">
        <v>263</v>
      </c>
      <c r="O1" s="103"/>
      <c r="P1" s="103"/>
      <c r="Q1" s="103"/>
    </row>
    <row r="2" spans="1:17">
      <c r="A2" s="105" t="s">
        <v>132</v>
      </c>
      <c r="B2" s="105" t="s">
        <v>274</v>
      </c>
      <c r="C2" s="105">
        <v>0</v>
      </c>
      <c r="D2" s="105">
        <v>20</v>
      </c>
      <c r="E2" s="106">
        <v>8.2699999999999991E-5</v>
      </c>
      <c r="F2" s="106">
        <v>4.1349999999999994E-6</v>
      </c>
      <c r="G2" s="106">
        <v>1.3999999999999999E-6</v>
      </c>
      <c r="H2" s="106">
        <v>3.2199999999999997E-5</v>
      </c>
      <c r="I2" s="106">
        <v>6.5096294057342481E-6</v>
      </c>
      <c r="J2" s="107">
        <v>0</v>
      </c>
      <c r="K2" s="105"/>
    </row>
    <row r="3" spans="1:17">
      <c r="A3" s="105" t="s">
        <v>132</v>
      </c>
      <c r="B3" s="105" t="s">
        <v>275</v>
      </c>
      <c r="C3" s="105">
        <v>0</v>
      </c>
      <c r="D3" s="105">
        <v>20</v>
      </c>
      <c r="E3" s="106">
        <v>1.167E-4</v>
      </c>
      <c r="F3" s="106">
        <v>5.835E-6</v>
      </c>
      <c r="G3" s="106">
        <v>3.0000000000000001E-6</v>
      </c>
      <c r="H3" s="106">
        <v>1.0000000000000001E-5</v>
      </c>
      <c r="I3" s="106">
        <v>1.9761768645543815E-6</v>
      </c>
      <c r="J3" s="107">
        <v>5.1908678090134303E-4</v>
      </c>
      <c r="K3" s="108" t="s">
        <v>276</v>
      </c>
      <c r="N3" t="s">
        <v>289</v>
      </c>
      <c r="O3" s="26">
        <v>1</v>
      </c>
    </row>
    <row r="4" spans="1:17">
      <c r="A4" s="105" t="s">
        <v>132</v>
      </c>
      <c r="B4" s="105" t="s">
        <v>277</v>
      </c>
      <c r="C4" s="105">
        <v>0</v>
      </c>
      <c r="D4" s="105">
        <v>20</v>
      </c>
      <c r="E4" s="106">
        <v>2.7408000000000003E-3</v>
      </c>
      <c r="F4" s="106">
        <v>1.3704E-4</v>
      </c>
      <c r="G4" s="106">
        <v>9.2999999999999997E-5</v>
      </c>
      <c r="H4" s="106">
        <v>2.541E-4</v>
      </c>
      <c r="I4" s="106">
        <v>4.1277843935942219E-5</v>
      </c>
      <c r="J4" s="107">
        <v>1.2191200077929744E-2</v>
      </c>
      <c r="K4" s="108" t="s">
        <v>276</v>
      </c>
      <c r="N4" t="s">
        <v>290</v>
      </c>
      <c r="O4" s="26">
        <v>20</v>
      </c>
    </row>
    <row r="5" spans="1:17">
      <c r="A5" s="105" t="s">
        <v>132</v>
      </c>
      <c r="B5" s="105" t="s">
        <v>278</v>
      </c>
      <c r="C5" s="105">
        <v>0</v>
      </c>
      <c r="D5" s="105">
        <v>20</v>
      </c>
      <c r="E5" s="106">
        <v>7.9796000000000016E-3</v>
      </c>
      <c r="F5" s="106">
        <v>3.9898000000000006E-4</v>
      </c>
      <c r="G5" s="106">
        <v>2.5670000000000001E-4</v>
      </c>
      <c r="H5" s="106">
        <v>1.0862000000000001E-3</v>
      </c>
      <c r="I5" s="106">
        <v>1.9160693254681568E-4</v>
      </c>
      <c r="J5" s="107">
        <v>3.5493615054673154E-2</v>
      </c>
      <c r="K5" s="108" t="s">
        <v>276</v>
      </c>
      <c r="N5" t="s">
        <v>291</v>
      </c>
      <c r="O5" s="26">
        <v>200</v>
      </c>
    </row>
    <row r="6" spans="1:17">
      <c r="A6" s="105" t="s">
        <v>132</v>
      </c>
      <c r="B6" s="105" t="s">
        <v>260</v>
      </c>
      <c r="C6" s="105">
        <v>0</v>
      </c>
      <c r="D6" s="105">
        <v>20</v>
      </c>
      <c r="E6" s="106">
        <v>5.0911999999999997E-3</v>
      </c>
      <c r="F6" s="106">
        <v>2.5455999999999998E-4</v>
      </c>
      <c r="G6" s="106">
        <v>4.6E-6</v>
      </c>
      <c r="H6" s="106">
        <v>6.0130000000000003E-4</v>
      </c>
      <c r="I6" s="106">
        <v>2.4997508355834182E-4</v>
      </c>
      <c r="J6" s="107">
        <v>2.264588362403528E-2</v>
      </c>
      <c r="K6" s="108" t="s">
        <v>276</v>
      </c>
      <c r="N6" t="s">
        <v>292</v>
      </c>
      <c r="O6" s="113">
        <v>0.22481789999999993</v>
      </c>
      <c r="P6" t="s">
        <v>293</v>
      </c>
    </row>
    <row r="7" spans="1:17">
      <c r="A7" s="105" t="s">
        <v>132</v>
      </c>
      <c r="B7" s="105" t="s">
        <v>279</v>
      </c>
      <c r="C7" s="105">
        <v>0</v>
      </c>
      <c r="D7" s="105">
        <v>20</v>
      </c>
      <c r="E7" s="106">
        <v>4.7547000000000006E-3</v>
      </c>
      <c r="F7" s="106">
        <v>2.3773500000000004E-4</v>
      </c>
      <c r="G7" s="106">
        <v>1.573E-4</v>
      </c>
      <c r="H7" s="106">
        <v>5.9509999999999999E-4</v>
      </c>
      <c r="I7" s="106">
        <v>8.7940254008047955E-5</v>
      </c>
      <c r="J7" s="107">
        <v>2.114911668510382E-2</v>
      </c>
      <c r="K7" s="108" t="s">
        <v>276</v>
      </c>
      <c r="N7" t="s">
        <v>294</v>
      </c>
      <c r="O7" s="113">
        <v>1.1240894999999997E-2</v>
      </c>
      <c r="P7" t="s">
        <v>293</v>
      </c>
    </row>
    <row r="8" spans="1:17">
      <c r="A8" s="105" t="s">
        <v>132</v>
      </c>
      <c r="B8" s="105" t="s">
        <v>280</v>
      </c>
      <c r="C8" s="105">
        <v>0</v>
      </c>
      <c r="D8" s="105">
        <v>20</v>
      </c>
      <c r="E8" s="106">
        <v>5.6984699999999999E-2</v>
      </c>
      <c r="F8" s="106">
        <v>2.8492349999999999E-3</v>
      </c>
      <c r="G8" s="106">
        <v>2.3804999999999998E-3</v>
      </c>
      <c r="H8" s="106">
        <v>3.7179000000000001E-3</v>
      </c>
      <c r="I8" s="106">
        <v>3.8124124288303193E-4</v>
      </c>
      <c r="J8" s="107">
        <v>0.25347047543812135</v>
      </c>
      <c r="K8" s="109" t="s">
        <v>281</v>
      </c>
      <c r="N8" t="s">
        <v>295</v>
      </c>
      <c r="O8" s="114">
        <v>1</v>
      </c>
    </row>
    <row r="9" spans="1:17">
      <c r="A9" s="105" t="s">
        <v>132</v>
      </c>
      <c r="B9" s="105" t="s">
        <v>282</v>
      </c>
      <c r="C9" s="105">
        <v>0</v>
      </c>
      <c r="D9" s="105">
        <v>20</v>
      </c>
      <c r="E9" s="106">
        <v>8.0765199999999995E-2</v>
      </c>
      <c r="F9" s="106">
        <v>4.0382600000000001E-3</v>
      </c>
      <c r="G9" s="106">
        <v>1.8365E-3</v>
      </c>
      <c r="H9" s="106">
        <v>6.7305999999999998E-3</v>
      </c>
      <c r="I9" s="106">
        <v>1.6268774534057568E-3</v>
      </c>
      <c r="J9" s="107">
        <v>0.35924719517440568</v>
      </c>
      <c r="K9" s="110" t="s">
        <v>283</v>
      </c>
    </row>
    <row r="10" spans="1:17">
      <c r="A10" s="105" t="s">
        <v>132</v>
      </c>
      <c r="B10" s="105" t="s">
        <v>284</v>
      </c>
      <c r="C10" s="105">
        <v>0</v>
      </c>
      <c r="D10" s="105">
        <v>20</v>
      </c>
      <c r="E10" s="106">
        <v>7.3030000000000005E-3</v>
      </c>
      <c r="F10" s="106">
        <v>3.6515000000000001E-4</v>
      </c>
      <c r="G10" s="106">
        <v>5.02E-5</v>
      </c>
      <c r="H10" s="106">
        <v>8.2350000000000001E-4</v>
      </c>
      <c r="I10" s="106">
        <v>3.1194332257639367E-4</v>
      </c>
      <c r="J10" s="107">
        <v>3.2484068216988071E-2</v>
      </c>
      <c r="K10" s="108" t="s">
        <v>276</v>
      </c>
      <c r="N10" s="26" t="s">
        <v>296</v>
      </c>
    </row>
    <row r="11" spans="1:17">
      <c r="A11" s="105" t="s">
        <v>132</v>
      </c>
      <c r="B11" s="105" t="s">
        <v>285</v>
      </c>
      <c r="C11" s="105">
        <v>0</v>
      </c>
      <c r="D11" s="105">
        <v>20</v>
      </c>
      <c r="E11" s="106">
        <v>4.2601800000000002E-2</v>
      </c>
      <c r="F11" s="106">
        <v>2.1300900000000003E-3</v>
      </c>
      <c r="G11" s="106">
        <v>1.0062999999999999E-3</v>
      </c>
      <c r="H11" s="106">
        <v>4.1431000000000003E-3</v>
      </c>
      <c r="I11" s="106">
        <v>1.0261571774830597E-3</v>
      </c>
      <c r="J11" s="107">
        <v>0.18949469770867897</v>
      </c>
      <c r="K11" s="109" t="s">
        <v>281</v>
      </c>
      <c r="N11" s="115" t="s">
        <v>264</v>
      </c>
      <c r="O11" s="115" t="s">
        <v>265</v>
      </c>
      <c r="P11" s="115" t="s">
        <v>267</v>
      </c>
      <c r="Q11" s="115" t="s">
        <v>272</v>
      </c>
    </row>
    <row r="12" spans="1:17">
      <c r="A12" s="105" t="s">
        <v>132</v>
      </c>
      <c r="B12" s="105" t="s">
        <v>286</v>
      </c>
      <c r="C12" s="105">
        <v>0</v>
      </c>
      <c r="D12" s="105">
        <v>20</v>
      </c>
      <c r="E12" s="106">
        <v>1.6480199999999997E-2</v>
      </c>
      <c r="F12" s="106">
        <v>8.240099999999998E-4</v>
      </c>
      <c r="G12" s="106">
        <v>8.7999999999999998E-5</v>
      </c>
      <c r="H12" s="106">
        <v>2.0501E-3</v>
      </c>
      <c r="I12" s="106">
        <v>7.3692953998330155E-4</v>
      </c>
      <c r="J12" s="107">
        <v>7.3304661239162905E-2</v>
      </c>
      <c r="K12" s="111" t="s">
        <v>287</v>
      </c>
      <c r="N12" t="s">
        <v>132</v>
      </c>
      <c r="O12" t="s">
        <v>282</v>
      </c>
      <c r="P12" s="112">
        <v>8.0765199999999995E-2</v>
      </c>
      <c r="Q12" s="117">
        <v>0.35924719517440568</v>
      </c>
    </row>
    <row r="13" spans="1:17">
      <c r="A13" s="105" t="s">
        <v>132</v>
      </c>
      <c r="B13" s="105" t="s">
        <v>288</v>
      </c>
      <c r="C13" s="105">
        <v>0</v>
      </c>
      <c r="D13" s="105">
        <v>20</v>
      </c>
      <c r="E13" s="106">
        <v>0.22481789999999993</v>
      </c>
      <c r="F13" s="106">
        <v>1.1240894999999997E-2</v>
      </c>
      <c r="G13" s="106">
        <v>5.9760999999999998E-3</v>
      </c>
      <c r="H13" s="106">
        <v>1.76796E-2</v>
      </c>
      <c r="I13" s="106">
        <v>3.8643682850467371E-3</v>
      </c>
      <c r="J13" s="107">
        <v>0</v>
      </c>
      <c r="K13" s="105"/>
      <c r="N13" t="s">
        <v>132</v>
      </c>
      <c r="O13" t="s">
        <v>280</v>
      </c>
      <c r="P13" s="112">
        <v>5.6984699999999999E-2</v>
      </c>
      <c r="Q13" s="118">
        <v>0.25347047543812135</v>
      </c>
    </row>
    <row r="14" spans="1:17">
      <c r="N14" t="s">
        <v>132</v>
      </c>
      <c r="O14" t="s">
        <v>285</v>
      </c>
      <c r="P14" s="112">
        <v>4.2601800000000002E-2</v>
      </c>
      <c r="Q14" s="118">
        <v>0.18949469770867897</v>
      </c>
    </row>
    <row r="15" spans="1:17">
      <c r="N15" t="s">
        <v>132</v>
      </c>
      <c r="O15" t="s">
        <v>286</v>
      </c>
      <c r="P15" s="112">
        <v>1.6480199999999997E-2</v>
      </c>
      <c r="Q15" s="116">
        <v>7.3304661239162905E-2</v>
      </c>
    </row>
    <row r="16" spans="1:17" ht="16">
      <c r="A16" s="119" t="s">
        <v>297</v>
      </c>
      <c r="N16" t="s">
        <v>132</v>
      </c>
      <c r="O16" t="s">
        <v>278</v>
      </c>
      <c r="P16" s="112">
        <v>7.9796000000000016E-3</v>
      </c>
      <c r="Q16" s="116">
        <v>3.5493615054673154E-2</v>
      </c>
    </row>
    <row r="18" spans="1:10">
      <c r="A18" s="104" t="s">
        <v>264</v>
      </c>
      <c r="B18" s="104" t="s">
        <v>298</v>
      </c>
      <c r="C18" s="104" t="s">
        <v>299</v>
      </c>
      <c r="D18" s="104" t="s">
        <v>300</v>
      </c>
      <c r="E18" s="104" t="s">
        <v>301</v>
      </c>
      <c r="F18" s="104" t="s">
        <v>302</v>
      </c>
      <c r="G18" s="104" t="s">
        <v>271</v>
      </c>
      <c r="H18" s="104" t="s">
        <v>303</v>
      </c>
      <c r="I18" s="104" t="s">
        <v>272</v>
      </c>
      <c r="J18" s="104" t="s">
        <v>304</v>
      </c>
    </row>
    <row r="19" spans="1:10">
      <c r="A19" s="105" t="s">
        <v>132</v>
      </c>
      <c r="B19" s="105">
        <v>20</v>
      </c>
      <c r="C19" s="106">
        <v>0.22481789999999993</v>
      </c>
      <c r="D19" s="106">
        <v>1.1240894999999997E-2</v>
      </c>
      <c r="E19" s="106">
        <v>5.9760999999999998E-3</v>
      </c>
      <c r="F19" s="106">
        <v>1.76796E-2</v>
      </c>
      <c r="G19" s="106">
        <v>3.8643682850467371E-3</v>
      </c>
      <c r="H19" s="120">
        <v>34.377763381356537</v>
      </c>
      <c r="I19" s="121">
        <v>0</v>
      </c>
      <c r="J19" s="122">
        <v>1</v>
      </c>
    </row>
  </sheetData>
  <mergeCells count="1">
    <mergeCell ref="N1:Q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1DAC2-FEEA-41D7-A202-3BA0AA461DC4}">
  <sheetPr codeName="Sheet33"/>
  <dimension ref="A1:Q19"/>
  <sheetViews>
    <sheetView workbookViewId="0">
      <pane ySplit="1" topLeftCell="A2" activePane="bottomLeft" state="frozen"/>
      <selection pane="bottomLeft" activeCell="J12" sqref="J12"/>
    </sheetView>
  </sheetViews>
  <sheetFormatPr defaultRowHeight="14.5"/>
  <cols>
    <col min="1" max="1" width="20.6328125" customWidth="1"/>
    <col min="2" max="2" width="35.6328125" customWidth="1"/>
    <col min="3" max="3" width="8.6328125" customWidth="1"/>
    <col min="4" max="4" width="10.6328125" customWidth="1"/>
    <col min="5" max="11" width="12.6328125" customWidth="1"/>
  </cols>
  <sheetData>
    <row r="1" spans="1:17" ht="18.5">
      <c r="A1" s="104" t="s">
        <v>264</v>
      </c>
      <c r="B1" s="104" t="s">
        <v>265</v>
      </c>
      <c r="C1" s="104" t="s">
        <v>189</v>
      </c>
      <c r="D1" s="104" t="s">
        <v>266</v>
      </c>
      <c r="E1" s="104" t="s">
        <v>267</v>
      </c>
      <c r="F1" s="104" t="s">
        <v>268</v>
      </c>
      <c r="G1" s="104" t="s">
        <v>269</v>
      </c>
      <c r="H1" s="104" t="s">
        <v>270</v>
      </c>
      <c r="I1" s="104" t="s">
        <v>271</v>
      </c>
      <c r="J1" s="104" t="s">
        <v>272</v>
      </c>
      <c r="K1" s="104" t="s">
        <v>273</v>
      </c>
      <c r="N1" s="103" t="s">
        <v>263</v>
      </c>
      <c r="O1" s="103"/>
      <c r="P1" s="103"/>
      <c r="Q1" s="103"/>
    </row>
    <row r="2" spans="1:17">
      <c r="A2" s="105" t="s">
        <v>132</v>
      </c>
      <c r="B2" s="105" t="s">
        <v>274</v>
      </c>
      <c r="C2" s="105">
        <v>0</v>
      </c>
      <c r="D2" s="105">
        <v>40</v>
      </c>
      <c r="E2" s="106">
        <v>1.1490000000000001E-4</v>
      </c>
      <c r="F2" s="106">
        <v>2.8725000000000004E-6</v>
      </c>
      <c r="G2" s="106">
        <v>1.5999999999999999E-6</v>
      </c>
      <c r="H2" s="106">
        <v>6.3999999999999997E-6</v>
      </c>
      <c r="I2" s="106">
        <v>8.5644249661024898E-7</v>
      </c>
      <c r="J2" s="107">
        <v>0</v>
      </c>
      <c r="K2" s="105"/>
    </row>
    <row r="3" spans="1:17">
      <c r="A3" s="105" t="s">
        <v>132</v>
      </c>
      <c r="B3" s="105" t="s">
        <v>275</v>
      </c>
      <c r="C3" s="105">
        <v>0</v>
      </c>
      <c r="D3" s="105">
        <v>40</v>
      </c>
      <c r="E3" s="106">
        <v>2.1860000000000003E-4</v>
      </c>
      <c r="F3" s="106">
        <v>5.465000000000001E-6</v>
      </c>
      <c r="G3" s="106">
        <v>3.1E-6</v>
      </c>
      <c r="H3" s="106">
        <v>1.0499999999999999E-5</v>
      </c>
      <c r="I3" s="106">
        <v>1.3002980427578818E-6</v>
      </c>
      <c r="J3" s="107">
        <v>5.9316358615958871E-4</v>
      </c>
      <c r="K3" s="108" t="s">
        <v>276</v>
      </c>
      <c r="N3" t="s">
        <v>289</v>
      </c>
      <c r="O3" s="26">
        <v>1</v>
      </c>
    </row>
    <row r="4" spans="1:17">
      <c r="A4" s="105" t="s">
        <v>132</v>
      </c>
      <c r="B4" s="105" t="s">
        <v>277</v>
      </c>
      <c r="C4" s="105">
        <v>0</v>
      </c>
      <c r="D4" s="105">
        <v>40</v>
      </c>
      <c r="E4" s="106">
        <v>5.1690999999999994E-3</v>
      </c>
      <c r="F4" s="106">
        <v>1.292275E-4</v>
      </c>
      <c r="G4" s="106">
        <v>8.3999999999999995E-5</v>
      </c>
      <c r="H4" s="106">
        <v>2.2279999999999999E-4</v>
      </c>
      <c r="I4" s="106">
        <v>2.5701069895045206E-5</v>
      </c>
      <c r="J4" s="107">
        <v>1.4026175174828587E-2</v>
      </c>
      <c r="K4" s="108" t="s">
        <v>276</v>
      </c>
      <c r="N4" t="s">
        <v>290</v>
      </c>
      <c r="O4" s="26">
        <v>40</v>
      </c>
    </row>
    <row r="5" spans="1:17">
      <c r="A5" s="105" t="s">
        <v>132</v>
      </c>
      <c r="B5" s="105" t="s">
        <v>278</v>
      </c>
      <c r="C5" s="105">
        <v>0</v>
      </c>
      <c r="D5" s="105">
        <v>40</v>
      </c>
      <c r="E5" s="106">
        <v>1.3214900000000002E-2</v>
      </c>
      <c r="F5" s="106">
        <v>3.3037250000000006E-4</v>
      </c>
      <c r="G5" s="106">
        <v>2.3039999999999999E-4</v>
      </c>
      <c r="H5" s="106">
        <v>4.8299999999999998E-4</v>
      </c>
      <c r="I5" s="106">
        <v>5.7137286370197716E-5</v>
      </c>
      <c r="J5" s="107">
        <v>3.5858176920129679E-2</v>
      </c>
      <c r="K5" s="108" t="s">
        <v>276</v>
      </c>
      <c r="N5" t="s">
        <v>291</v>
      </c>
      <c r="O5" s="26">
        <v>400</v>
      </c>
    </row>
    <row r="6" spans="1:17">
      <c r="A6" s="105" t="s">
        <v>132</v>
      </c>
      <c r="B6" s="105" t="s">
        <v>260</v>
      </c>
      <c r="C6" s="105">
        <v>0</v>
      </c>
      <c r="D6" s="105">
        <v>40</v>
      </c>
      <c r="E6" s="106">
        <v>1.1372700000000001E-2</v>
      </c>
      <c r="F6" s="106">
        <v>2.8431750000000003E-4</v>
      </c>
      <c r="G6" s="106">
        <v>6.2999999999999998E-6</v>
      </c>
      <c r="H6" s="106">
        <v>7.7990000000000004E-4</v>
      </c>
      <c r="I6" s="106">
        <v>2.9022316059155225E-4</v>
      </c>
      <c r="J6" s="107">
        <v>3.0859430541249563E-2</v>
      </c>
      <c r="K6" s="108" t="s">
        <v>276</v>
      </c>
      <c r="N6" t="s">
        <v>292</v>
      </c>
      <c r="O6" s="113">
        <v>0.36853240000000004</v>
      </c>
      <c r="P6" t="s">
        <v>293</v>
      </c>
    </row>
    <row r="7" spans="1:17">
      <c r="A7" s="105" t="s">
        <v>132</v>
      </c>
      <c r="B7" s="105" t="s">
        <v>279</v>
      </c>
      <c r="C7" s="105">
        <v>0</v>
      </c>
      <c r="D7" s="105">
        <v>40</v>
      </c>
      <c r="E7" s="106">
        <v>1.0327300000000001E-2</v>
      </c>
      <c r="F7" s="106">
        <v>2.5818250000000004E-4</v>
      </c>
      <c r="G7" s="106">
        <v>1.641E-4</v>
      </c>
      <c r="H7" s="106">
        <v>5.0049999999999997E-4</v>
      </c>
      <c r="I7" s="106">
        <v>7.1070003825453472E-5</v>
      </c>
      <c r="J7" s="107">
        <v>2.8022773574318025E-2</v>
      </c>
      <c r="K7" s="108" t="s">
        <v>276</v>
      </c>
      <c r="N7" t="s">
        <v>294</v>
      </c>
      <c r="O7" s="113">
        <v>9.2133100000000006E-3</v>
      </c>
      <c r="P7" t="s">
        <v>293</v>
      </c>
    </row>
    <row r="8" spans="1:17">
      <c r="A8" s="105" t="s">
        <v>132</v>
      </c>
      <c r="B8" s="105" t="s">
        <v>280</v>
      </c>
      <c r="C8" s="105">
        <v>0</v>
      </c>
      <c r="D8" s="105">
        <v>40</v>
      </c>
      <c r="E8" s="106">
        <v>9.1815000000000004E-3</v>
      </c>
      <c r="F8" s="106">
        <v>2.2953750000000002E-4</v>
      </c>
      <c r="G8" s="106">
        <v>1.7100000000000001E-4</v>
      </c>
      <c r="H8" s="106">
        <v>4.9200000000000003E-4</v>
      </c>
      <c r="I8" s="106">
        <v>5.8340507743333923E-5</v>
      </c>
      <c r="J8" s="107">
        <v>2.4913684658390958E-2</v>
      </c>
      <c r="K8" s="108" t="s">
        <v>276</v>
      </c>
      <c r="N8" t="s">
        <v>295</v>
      </c>
      <c r="O8" s="114">
        <v>1</v>
      </c>
    </row>
    <row r="9" spans="1:17">
      <c r="A9" s="105" t="s">
        <v>132</v>
      </c>
      <c r="B9" s="105" t="s">
        <v>282</v>
      </c>
      <c r="C9" s="105">
        <v>0</v>
      </c>
      <c r="D9" s="105">
        <v>40</v>
      </c>
      <c r="E9" s="106">
        <v>0.17352509999999999</v>
      </c>
      <c r="F9" s="106">
        <v>4.3381274999999995E-3</v>
      </c>
      <c r="G9" s="106">
        <v>1.8568E-3</v>
      </c>
      <c r="H9" s="106">
        <v>8.0511000000000003E-3</v>
      </c>
      <c r="I9" s="106">
        <v>1.9724485026214877E-3</v>
      </c>
      <c r="J9" s="107">
        <v>0.47085439434904497</v>
      </c>
      <c r="K9" s="110" t="s">
        <v>283</v>
      </c>
    </row>
    <row r="10" spans="1:17">
      <c r="A10" s="105" t="s">
        <v>132</v>
      </c>
      <c r="B10" s="105" t="s">
        <v>284</v>
      </c>
      <c r="C10" s="105">
        <v>0</v>
      </c>
      <c r="D10" s="105">
        <v>40</v>
      </c>
      <c r="E10" s="106">
        <v>1.5854100000000003E-2</v>
      </c>
      <c r="F10" s="106">
        <v>3.9635250000000005E-4</v>
      </c>
      <c r="G10" s="106">
        <v>5.0300000000000003E-5</v>
      </c>
      <c r="H10" s="106">
        <v>9.3030000000000001E-4</v>
      </c>
      <c r="I10" s="106">
        <v>3.4723182240939545E-4</v>
      </c>
      <c r="J10" s="107">
        <v>4.3019555404083878E-2</v>
      </c>
      <c r="K10" s="108" t="s">
        <v>276</v>
      </c>
      <c r="N10" s="26" t="s">
        <v>296</v>
      </c>
    </row>
    <row r="11" spans="1:17">
      <c r="A11" s="105" t="s">
        <v>132</v>
      </c>
      <c r="B11" s="105" t="s">
        <v>285</v>
      </c>
      <c r="C11" s="105">
        <v>0</v>
      </c>
      <c r="D11" s="105">
        <v>40</v>
      </c>
      <c r="E11" s="106">
        <v>9.1142500000000001E-2</v>
      </c>
      <c r="F11" s="106">
        <v>2.2785625000000002E-3</v>
      </c>
      <c r="G11" s="106">
        <v>1.0087E-3</v>
      </c>
      <c r="H11" s="106">
        <v>4.0350000000000004E-3</v>
      </c>
      <c r="I11" s="106">
        <v>1.1813366926256667E-3</v>
      </c>
      <c r="J11" s="107">
        <v>0.24731204094945244</v>
      </c>
      <c r="K11" s="109" t="s">
        <v>281</v>
      </c>
      <c r="N11" s="115" t="s">
        <v>264</v>
      </c>
      <c r="O11" s="115" t="s">
        <v>265</v>
      </c>
      <c r="P11" s="115" t="s">
        <v>267</v>
      </c>
      <c r="Q11" s="115" t="s">
        <v>272</v>
      </c>
    </row>
    <row r="12" spans="1:17">
      <c r="A12" s="105" t="s">
        <v>132</v>
      </c>
      <c r="B12" s="105" t="s">
        <v>286</v>
      </c>
      <c r="C12" s="105">
        <v>0</v>
      </c>
      <c r="D12" s="105">
        <v>40</v>
      </c>
      <c r="E12" s="106">
        <v>3.8526600000000001E-2</v>
      </c>
      <c r="F12" s="106">
        <v>9.6316499999999998E-4</v>
      </c>
      <c r="G12" s="106">
        <v>8.9699999999999998E-5</v>
      </c>
      <c r="H12" s="106">
        <v>2.6162999999999998E-3</v>
      </c>
      <c r="I12" s="106">
        <v>8.8359913353001896E-4</v>
      </c>
      <c r="J12" s="107">
        <v>0.10454060484234222</v>
      </c>
      <c r="K12" s="111" t="s">
        <v>287</v>
      </c>
      <c r="N12" t="s">
        <v>132</v>
      </c>
      <c r="O12" t="s">
        <v>282</v>
      </c>
      <c r="P12" s="112">
        <v>0.17352509999999999</v>
      </c>
      <c r="Q12" s="117">
        <v>0.47085439434904497</v>
      </c>
    </row>
    <row r="13" spans="1:17">
      <c r="A13" s="105" t="s">
        <v>132</v>
      </c>
      <c r="B13" s="105" t="s">
        <v>288</v>
      </c>
      <c r="C13" s="105">
        <v>0</v>
      </c>
      <c r="D13" s="105">
        <v>40</v>
      </c>
      <c r="E13" s="106">
        <v>0.36853240000000004</v>
      </c>
      <c r="F13" s="106">
        <v>9.2133100000000006E-3</v>
      </c>
      <c r="G13" s="106">
        <v>3.8290000000000004E-3</v>
      </c>
      <c r="H13" s="106">
        <v>1.6236400000000002E-2</v>
      </c>
      <c r="I13" s="106">
        <v>4.6302161540688353E-3</v>
      </c>
      <c r="J13" s="107">
        <v>0</v>
      </c>
      <c r="K13" s="105"/>
      <c r="N13" t="s">
        <v>132</v>
      </c>
      <c r="O13" t="s">
        <v>285</v>
      </c>
      <c r="P13" s="112">
        <v>9.1142500000000001E-2</v>
      </c>
      <c r="Q13" s="118">
        <v>0.24731204094945244</v>
      </c>
    </row>
    <row r="14" spans="1:17">
      <c r="N14" t="s">
        <v>132</v>
      </c>
      <c r="O14" t="s">
        <v>286</v>
      </c>
      <c r="P14" s="112">
        <v>3.8526600000000001E-2</v>
      </c>
      <c r="Q14" s="116">
        <v>0.10454060484234222</v>
      </c>
    </row>
    <row r="15" spans="1:17">
      <c r="N15" t="s">
        <v>132</v>
      </c>
      <c r="O15" t="s">
        <v>284</v>
      </c>
      <c r="P15" s="112">
        <v>1.5854100000000003E-2</v>
      </c>
      <c r="Q15" s="116">
        <v>4.3019555404083878E-2</v>
      </c>
    </row>
    <row r="16" spans="1:17" ht="16">
      <c r="A16" s="119" t="s">
        <v>297</v>
      </c>
      <c r="N16" t="s">
        <v>132</v>
      </c>
      <c r="O16" t="s">
        <v>278</v>
      </c>
      <c r="P16" s="112">
        <v>1.3214900000000002E-2</v>
      </c>
      <c r="Q16" s="116">
        <v>3.5858176920129679E-2</v>
      </c>
    </row>
    <row r="18" spans="1:10">
      <c r="A18" s="104" t="s">
        <v>264</v>
      </c>
      <c r="B18" s="104" t="s">
        <v>298</v>
      </c>
      <c r="C18" s="104" t="s">
        <v>299</v>
      </c>
      <c r="D18" s="104" t="s">
        <v>300</v>
      </c>
      <c r="E18" s="104" t="s">
        <v>301</v>
      </c>
      <c r="F18" s="104" t="s">
        <v>302</v>
      </c>
      <c r="G18" s="104" t="s">
        <v>271</v>
      </c>
      <c r="H18" s="104" t="s">
        <v>303</v>
      </c>
      <c r="I18" s="104" t="s">
        <v>272</v>
      </c>
      <c r="J18" s="104" t="s">
        <v>304</v>
      </c>
    </row>
    <row r="19" spans="1:10">
      <c r="A19" s="105" t="s">
        <v>132</v>
      </c>
      <c r="B19" s="105">
        <v>40</v>
      </c>
      <c r="C19" s="106">
        <v>0.36853240000000004</v>
      </c>
      <c r="D19" s="106">
        <v>9.2133100000000006E-3</v>
      </c>
      <c r="E19" s="106">
        <v>3.8290000000000004E-3</v>
      </c>
      <c r="F19" s="106">
        <v>1.6236400000000002E-2</v>
      </c>
      <c r="G19" s="106">
        <v>4.6302161540688353E-3</v>
      </c>
      <c r="H19" s="120">
        <v>50.255729526834926</v>
      </c>
      <c r="I19" s="121">
        <v>0</v>
      </c>
      <c r="J19" s="122">
        <v>1</v>
      </c>
    </row>
  </sheetData>
  <mergeCells count="1">
    <mergeCell ref="N1:Q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BF075-7043-4196-8589-88F244730CE7}">
  <sheetPr codeName="Sheet25">
    <tabColor theme="5" tint="0.79998168889431442"/>
  </sheetPr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84A5E-5ED3-4252-ACF6-D73A848991C4}">
  <sheetPr codeName="wMetadata"/>
  <dimension ref="A1:DH249"/>
  <sheetViews>
    <sheetView showGridLines="0" topLeftCell="A7" workbookViewId="0">
      <selection activeCell="B20" sqref="B20:E37"/>
    </sheetView>
  </sheetViews>
  <sheetFormatPr defaultRowHeight="14.5"/>
  <cols>
    <col min="1" max="1" width="1.6328125" customWidth="1"/>
    <col min="2" max="13" width="14.453125" customWidth="1"/>
    <col min="16" max="16" width="11.453125" bestFit="1" customWidth="1"/>
  </cols>
  <sheetData>
    <row r="1" spans="1:45">
      <c r="A1" t="str" cm="1">
        <f t="array" aca="1" ref="A1" ca="1">CELL("filename",A1)</f>
        <v>C:\Sync\git_hub\vba_samplicity\[01_magnus_premres.xlsm]metadata</v>
      </c>
    </row>
    <row r="2" spans="1:45">
      <c r="A2" s="14" t="s">
        <v>256</v>
      </c>
    </row>
    <row r="3" spans="1:45">
      <c r="A3" s="14" t="s">
        <v>186</v>
      </c>
    </row>
    <row r="5" spans="1:45">
      <c r="A5" s="27" t="s">
        <v>141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</row>
    <row r="7" spans="1:45">
      <c r="B7" s="38" t="s">
        <v>137</v>
      </c>
    </row>
    <row r="8" spans="1:45">
      <c r="B8" s="38" t="s">
        <v>138</v>
      </c>
    </row>
    <row r="9" spans="1:45">
      <c r="B9" s="38" t="s">
        <v>140</v>
      </c>
    </row>
    <row r="10" spans="1:45">
      <c r="B10" s="38" t="s">
        <v>139</v>
      </c>
    </row>
    <row r="11" spans="1:45">
      <c r="B11" s="38" t="s">
        <v>142</v>
      </c>
    </row>
    <row r="12" spans="1:45">
      <c r="B12" s="38" t="s">
        <v>175</v>
      </c>
    </row>
    <row r="13" spans="1:45">
      <c r="B13" s="38" t="s">
        <v>177</v>
      </c>
    </row>
    <row r="16" spans="1:45">
      <c r="A16" s="27" t="s">
        <v>137</v>
      </c>
      <c r="B16" s="27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9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</row>
    <row r="19" spans="2:14">
      <c r="B19" s="1" t="s">
        <v>95</v>
      </c>
      <c r="C19" s="1" t="s">
        <v>82</v>
      </c>
      <c r="D19" s="1" t="s">
        <v>2</v>
      </c>
      <c r="E19" s="1" t="s">
        <v>1</v>
      </c>
      <c r="H19" s="1" t="s">
        <v>95</v>
      </c>
      <c r="I19" s="1" t="s">
        <v>82</v>
      </c>
      <c r="J19" s="1" t="s">
        <v>2</v>
      </c>
      <c r="K19" s="1" t="s">
        <v>1</v>
      </c>
    </row>
    <row r="20" spans="2:14">
      <c r="B20" s="3" t="s">
        <v>105</v>
      </c>
      <c r="C20" s="5">
        <v>1.75</v>
      </c>
      <c r="D20" s="3" t="s">
        <v>83</v>
      </c>
      <c r="E20" s="3" t="s">
        <v>84</v>
      </c>
      <c r="H20" s="3" t="s">
        <v>102</v>
      </c>
      <c r="I20" s="5">
        <v>1.75</v>
      </c>
      <c r="J20" s="3" t="s">
        <v>88</v>
      </c>
      <c r="K20" s="3" t="s">
        <v>79</v>
      </c>
    </row>
    <row r="21" spans="2:14">
      <c r="B21" s="4" t="s">
        <v>106</v>
      </c>
      <c r="C21" s="6">
        <v>1.1299999999999999</v>
      </c>
      <c r="D21" s="4" t="s">
        <v>83</v>
      </c>
      <c r="E21" s="4" t="s">
        <v>84</v>
      </c>
      <c r="H21" s="7" t="s">
        <v>103</v>
      </c>
      <c r="I21" s="8">
        <v>1.1299999999999999</v>
      </c>
      <c r="J21" s="24" t="s">
        <v>101</v>
      </c>
      <c r="K21" s="7" t="s">
        <v>79</v>
      </c>
    </row>
    <row r="22" spans="2:14">
      <c r="B22" s="4" t="s">
        <v>107</v>
      </c>
      <c r="C22" s="6">
        <v>1.2</v>
      </c>
      <c r="D22" s="4" t="s">
        <v>83</v>
      </c>
      <c r="E22" s="4" t="s">
        <v>84</v>
      </c>
    </row>
    <row r="23" spans="2:14">
      <c r="B23" s="4" t="s">
        <v>108</v>
      </c>
      <c r="C23" s="6">
        <v>0.3</v>
      </c>
      <c r="D23" s="4" t="s">
        <v>85</v>
      </c>
      <c r="E23" s="4" t="s">
        <v>84</v>
      </c>
      <c r="N23" s="9"/>
    </row>
    <row r="24" spans="2:14">
      <c r="B24" s="4" t="s">
        <v>109</v>
      </c>
      <c r="C24" s="6">
        <v>1.75</v>
      </c>
      <c r="D24" s="4" t="s">
        <v>83</v>
      </c>
      <c r="E24" s="4" t="s">
        <v>84</v>
      </c>
      <c r="N24" s="9"/>
    </row>
    <row r="25" spans="2:14">
      <c r="B25" s="4" t="s">
        <v>110</v>
      </c>
      <c r="C25" s="6">
        <v>1</v>
      </c>
      <c r="D25" s="4" t="s">
        <v>86</v>
      </c>
      <c r="E25" s="4" t="s">
        <v>20</v>
      </c>
      <c r="N25" s="9"/>
    </row>
    <row r="26" spans="2:14">
      <c r="B26" s="4" t="s">
        <v>111</v>
      </c>
      <c r="C26" s="6">
        <v>1.5</v>
      </c>
      <c r="D26" s="4" t="s">
        <v>58</v>
      </c>
      <c r="E26" s="4" t="s">
        <v>84</v>
      </c>
      <c r="H26" s="10"/>
      <c r="I26" s="11"/>
      <c r="N26" s="9"/>
    </row>
    <row r="27" spans="2:14">
      <c r="B27" s="4" t="s">
        <v>112</v>
      </c>
      <c r="C27" s="6">
        <v>0.8</v>
      </c>
      <c r="D27" s="4" t="s">
        <v>59</v>
      </c>
      <c r="E27" s="4" t="s">
        <v>84</v>
      </c>
      <c r="N27" s="9"/>
    </row>
    <row r="28" spans="2:14">
      <c r="B28" s="4" t="s">
        <v>113</v>
      </c>
      <c r="C28" s="6">
        <v>2</v>
      </c>
      <c r="D28" s="4" t="s">
        <v>55</v>
      </c>
      <c r="E28" s="4" t="s">
        <v>84</v>
      </c>
      <c r="H28" s="11"/>
      <c r="I28" s="11"/>
      <c r="N28" s="9"/>
    </row>
    <row r="29" spans="2:14">
      <c r="B29" s="4" t="s">
        <v>114</v>
      </c>
      <c r="C29" s="6">
        <v>3</v>
      </c>
      <c r="D29" s="4" t="s">
        <v>55</v>
      </c>
      <c r="E29" s="4" t="s">
        <v>84</v>
      </c>
      <c r="N29" s="9"/>
    </row>
    <row r="30" spans="2:14">
      <c r="B30" s="4" t="s">
        <v>115</v>
      </c>
      <c r="C30" s="6">
        <v>0.6</v>
      </c>
      <c r="D30" s="4" t="s">
        <v>57</v>
      </c>
      <c r="E30" s="4" t="s">
        <v>84</v>
      </c>
      <c r="H30" s="25"/>
      <c r="N30" s="9"/>
    </row>
    <row r="31" spans="2:14">
      <c r="B31" s="4" t="s">
        <v>116</v>
      </c>
      <c r="C31" s="6">
        <v>0.85</v>
      </c>
      <c r="D31" s="4" t="s">
        <v>87</v>
      </c>
      <c r="E31" s="4" t="s">
        <v>84</v>
      </c>
      <c r="I31" s="11"/>
      <c r="N31" s="9"/>
    </row>
    <row r="32" spans="2:14">
      <c r="B32" s="4" t="s">
        <v>117</v>
      </c>
      <c r="C32" s="6">
        <v>1.39</v>
      </c>
      <c r="D32" s="4" t="s">
        <v>88</v>
      </c>
      <c r="E32" s="4" t="s">
        <v>84</v>
      </c>
      <c r="N32" s="9"/>
    </row>
    <row r="33" spans="1:45">
      <c r="B33" s="4" t="s">
        <v>118</v>
      </c>
      <c r="C33" s="6">
        <v>0.4</v>
      </c>
      <c r="D33" s="16">
        <v>16</v>
      </c>
      <c r="E33" s="4" t="s">
        <v>84</v>
      </c>
      <c r="N33" s="9"/>
    </row>
    <row r="34" spans="1:45">
      <c r="B34" s="4" t="s">
        <v>119</v>
      </c>
      <c r="C34" s="6">
        <v>2.5</v>
      </c>
      <c r="D34" s="4" t="s">
        <v>89</v>
      </c>
      <c r="E34" s="4" t="s">
        <v>90</v>
      </c>
      <c r="N34" s="9"/>
    </row>
    <row r="35" spans="1:45">
      <c r="B35" s="4" t="s">
        <v>120</v>
      </c>
      <c r="C35" s="6">
        <v>2.5</v>
      </c>
      <c r="D35" s="4" t="s">
        <v>91</v>
      </c>
      <c r="E35" s="4" t="s">
        <v>92</v>
      </c>
      <c r="N35" s="9"/>
    </row>
    <row r="36" spans="1:45">
      <c r="B36" s="4" t="s">
        <v>121</v>
      </c>
      <c r="C36" s="6">
        <v>0.85</v>
      </c>
      <c r="D36" s="4">
        <v>14</v>
      </c>
      <c r="E36" s="4" t="s">
        <v>93</v>
      </c>
      <c r="N36" s="9"/>
    </row>
    <row r="37" spans="1:45">
      <c r="B37" s="7" t="s">
        <v>104</v>
      </c>
      <c r="C37" s="8">
        <v>2.5</v>
      </c>
      <c r="D37" s="7">
        <v>14</v>
      </c>
      <c r="E37" s="7" t="s">
        <v>94</v>
      </c>
      <c r="N37" s="9"/>
    </row>
    <row r="38" spans="1:45">
      <c r="N38" s="9"/>
    </row>
    <row r="40" spans="1:45">
      <c r="A40" s="27" t="s">
        <v>138</v>
      </c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</row>
    <row r="43" spans="1:45">
      <c r="C43" s="36" t="s">
        <v>21</v>
      </c>
      <c r="D43" s="36" t="s">
        <v>38</v>
      </c>
      <c r="E43" s="36" t="s">
        <v>39</v>
      </c>
      <c r="F43" s="36" t="s">
        <v>40</v>
      </c>
      <c r="G43" s="36" t="s">
        <v>41</v>
      </c>
      <c r="H43" s="36" t="s">
        <v>42</v>
      </c>
      <c r="I43" s="36" t="s">
        <v>43</v>
      </c>
      <c r="J43" s="36" t="s">
        <v>44</v>
      </c>
      <c r="K43" s="36" t="s">
        <v>45</v>
      </c>
      <c r="L43" s="36" t="s">
        <v>46</v>
      </c>
      <c r="M43" s="36" t="s">
        <v>47</v>
      </c>
      <c r="N43" s="36" t="s">
        <v>48</v>
      </c>
      <c r="O43" s="36" t="s">
        <v>49</v>
      </c>
      <c r="P43" s="36" t="s">
        <v>50</v>
      </c>
      <c r="Q43" s="36" t="s">
        <v>51</v>
      </c>
      <c r="R43" s="36" t="s">
        <v>52</v>
      </c>
      <c r="S43" s="36" t="s">
        <v>53</v>
      </c>
      <c r="T43" s="36">
        <v>9</v>
      </c>
      <c r="U43" s="36" t="s">
        <v>54</v>
      </c>
      <c r="V43" s="36" t="s">
        <v>55</v>
      </c>
      <c r="W43" s="36" t="s">
        <v>56</v>
      </c>
      <c r="X43" s="36" t="s">
        <v>57</v>
      </c>
      <c r="Y43" s="36" t="s">
        <v>58</v>
      </c>
      <c r="Z43" s="36" t="s">
        <v>59</v>
      </c>
      <c r="AA43" s="36" t="s">
        <v>60</v>
      </c>
      <c r="AB43" s="36">
        <v>11</v>
      </c>
      <c r="AC43" s="36">
        <v>12</v>
      </c>
      <c r="AD43" s="36">
        <v>13</v>
      </c>
      <c r="AE43" s="36">
        <v>14</v>
      </c>
      <c r="AF43" s="36">
        <v>15</v>
      </c>
      <c r="AG43" s="36" t="s">
        <v>61</v>
      </c>
      <c r="AH43" s="36" t="s">
        <v>62</v>
      </c>
      <c r="AI43" s="36" t="s">
        <v>63</v>
      </c>
      <c r="AJ43" s="36" t="s">
        <v>64</v>
      </c>
      <c r="AK43" s="36" t="s">
        <v>65</v>
      </c>
      <c r="AL43" s="36" t="s">
        <v>66</v>
      </c>
      <c r="AM43" s="36" t="s">
        <v>67</v>
      </c>
      <c r="AN43" s="36" t="s">
        <v>68</v>
      </c>
      <c r="AO43" s="36" t="s">
        <v>69</v>
      </c>
      <c r="AQ43" s="15" t="s">
        <v>2</v>
      </c>
      <c r="AR43" s="15" t="s">
        <v>70</v>
      </c>
      <c r="AS43" s="15" t="s">
        <v>71</v>
      </c>
    </row>
    <row r="44" spans="1:45">
      <c r="B44" s="2" t="s">
        <v>21</v>
      </c>
      <c r="C44" s="3">
        <v>1</v>
      </c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Q44" s="3" t="s">
        <v>21</v>
      </c>
      <c r="AR44" s="30">
        <v>6.3E-2</v>
      </c>
      <c r="AS44" s="30">
        <v>0.06</v>
      </c>
    </row>
    <row r="45" spans="1:45">
      <c r="B45" s="2" t="s">
        <v>38</v>
      </c>
      <c r="C45" s="4">
        <v>0.75</v>
      </c>
      <c r="D45" s="4">
        <v>1</v>
      </c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Q45" s="4" t="s">
        <v>38</v>
      </c>
      <c r="AR45" s="31">
        <v>7.0000000000000007E-2</v>
      </c>
      <c r="AS45" s="31">
        <v>6.5000000000000002E-2</v>
      </c>
    </row>
    <row r="46" spans="1:45">
      <c r="B46" s="2" t="s">
        <v>39</v>
      </c>
      <c r="C46" s="4">
        <v>0.25</v>
      </c>
      <c r="D46" s="4">
        <v>0.25</v>
      </c>
      <c r="E46" s="4">
        <v>1</v>
      </c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Q46" s="4" t="s">
        <v>39</v>
      </c>
      <c r="AR46" s="31">
        <v>5.8999999999999997E-2</v>
      </c>
      <c r="AS46" s="31">
        <v>0.11700000000000001</v>
      </c>
    </row>
    <row r="47" spans="1:45">
      <c r="B47" s="2" t="s">
        <v>40</v>
      </c>
      <c r="C47" s="4">
        <v>0.25</v>
      </c>
      <c r="D47" s="4">
        <v>0.25</v>
      </c>
      <c r="E47" s="4">
        <v>0.75</v>
      </c>
      <c r="F47" s="4">
        <v>1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Q47" s="4" t="s">
        <v>40</v>
      </c>
      <c r="AR47" s="31">
        <v>0.13800000000000001</v>
      </c>
      <c r="AS47" s="31">
        <v>0.14499999999999999</v>
      </c>
    </row>
    <row r="48" spans="1:45">
      <c r="B48" s="2" t="s">
        <v>41</v>
      </c>
      <c r="C48" s="4">
        <v>0.25</v>
      </c>
      <c r="D48" s="4">
        <v>0.25</v>
      </c>
      <c r="E48" s="4">
        <v>0.25</v>
      </c>
      <c r="F48" s="4">
        <v>0.25</v>
      </c>
      <c r="G48" s="4">
        <v>1</v>
      </c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Q48" s="4" t="s">
        <v>41</v>
      </c>
      <c r="AR48" s="31">
        <v>0.4</v>
      </c>
      <c r="AS48" s="31">
        <v>0.2</v>
      </c>
    </row>
    <row r="49" spans="2:45">
      <c r="B49" s="2" t="s">
        <v>42</v>
      </c>
      <c r="C49" s="4">
        <v>0.25</v>
      </c>
      <c r="D49" s="4">
        <v>0.25</v>
      </c>
      <c r="E49" s="4">
        <v>0.25</v>
      </c>
      <c r="F49" s="4">
        <v>0.25</v>
      </c>
      <c r="G49" s="4">
        <v>0.75</v>
      </c>
      <c r="H49" s="4">
        <v>1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Q49" s="4" t="s">
        <v>42</v>
      </c>
      <c r="AR49" s="31">
        <v>0.1</v>
      </c>
      <c r="AS49" s="31">
        <v>0.09</v>
      </c>
    </row>
    <row r="50" spans="2:45">
      <c r="B50" s="2" t="s">
        <v>43</v>
      </c>
      <c r="C50" s="4">
        <v>0.25</v>
      </c>
      <c r="D50" s="4">
        <v>0.25</v>
      </c>
      <c r="E50" s="4">
        <v>0.25</v>
      </c>
      <c r="F50" s="4">
        <v>0.25</v>
      </c>
      <c r="G50" s="4">
        <v>0.75</v>
      </c>
      <c r="H50" s="4">
        <v>0.75</v>
      </c>
      <c r="I50" s="4">
        <v>1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Q50" s="4" t="s">
        <v>43</v>
      </c>
      <c r="AR50" s="31">
        <v>9.0999999999999998E-2</v>
      </c>
      <c r="AS50" s="31">
        <v>0.23200000000000001</v>
      </c>
    </row>
    <row r="51" spans="2:45">
      <c r="B51" s="2" t="s">
        <v>44</v>
      </c>
      <c r="C51" s="4">
        <v>0.25</v>
      </c>
      <c r="D51" s="4">
        <v>0.25</v>
      </c>
      <c r="E51" s="4">
        <v>0.5</v>
      </c>
      <c r="F51" s="4">
        <v>0.5</v>
      </c>
      <c r="G51" s="4">
        <v>0.25</v>
      </c>
      <c r="H51" s="4">
        <v>0.25</v>
      </c>
      <c r="I51" s="4">
        <v>0.25</v>
      </c>
      <c r="J51" s="4">
        <v>1</v>
      </c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Q51" s="4" t="s">
        <v>44</v>
      </c>
      <c r="AR51" s="31">
        <v>0.109</v>
      </c>
      <c r="AS51" s="31">
        <v>0.13500000000000001</v>
      </c>
    </row>
    <row r="52" spans="2:45">
      <c r="B52" s="2" t="s">
        <v>45</v>
      </c>
      <c r="C52" s="4">
        <v>0.25</v>
      </c>
      <c r="D52" s="4">
        <v>0.25</v>
      </c>
      <c r="E52" s="4">
        <v>0.5</v>
      </c>
      <c r="F52" s="4">
        <v>0.5</v>
      </c>
      <c r="G52" s="4">
        <v>0.25</v>
      </c>
      <c r="H52" s="4">
        <v>0.25</v>
      </c>
      <c r="I52" s="4">
        <v>0.25</v>
      </c>
      <c r="J52" s="4">
        <v>0.75</v>
      </c>
      <c r="K52" s="4">
        <v>1</v>
      </c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Q52" s="4" t="s">
        <v>45</v>
      </c>
      <c r="AR52" s="31">
        <v>0.109</v>
      </c>
      <c r="AS52" s="31">
        <v>0.13500000000000001</v>
      </c>
    </row>
    <row r="53" spans="2:45">
      <c r="B53" s="2" t="s">
        <v>46</v>
      </c>
      <c r="C53" s="4">
        <v>0.25</v>
      </c>
      <c r="D53" s="4">
        <v>0.25</v>
      </c>
      <c r="E53" s="4">
        <v>0.25</v>
      </c>
      <c r="F53" s="4">
        <v>0.25</v>
      </c>
      <c r="G53" s="4">
        <v>0.25</v>
      </c>
      <c r="H53" s="4">
        <v>0.25</v>
      </c>
      <c r="I53" s="4">
        <v>0.25</v>
      </c>
      <c r="J53" s="4">
        <v>0.25</v>
      </c>
      <c r="K53" s="4">
        <v>0.25</v>
      </c>
      <c r="L53" s="4">
        <v>1</v>
      </c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Q53" s="4" t="s">
        <v>46</v>
      </c>
      <c r="AR53" s="31">
        <v>0.14599999999999999</v>
      </c>
      <c r="AS53" s="31">
        <v>0.107</v>
      </c>
    </row>
    <row r="54" spans="2:45">
      <c r="B54" s="2" t="s">
        <v>47</v>
      </c>
      <c r="C54" s="4">
        <v>0.25</v>
      </c>
      <c r="D54" s="4">
        <v>0.25</v>
      </c>
      <c r="E54" s="4">
        <v>0.25</v>
      </c>
      <c r="F54" s="4">
        <v>0.25</v>
      </c>
      <c r="G54" s="4">
        <v>0.25</v>
      </c>
      <c r="H54" s="4">
        <v>0.25</v>
      </c>
      <c r="I54" s="4">
        <v>0.25</v>
      </c>
      <c r="J54" s="4">
        <v>0.25</v>
      </c>
      <c r="K54" s="4">
        <v>0.25</v>
      </c>
      <c r="L54" s="4">
        <v>0.75</v>
      </c>
      <c r="M54" s="4">
        <v>1</v>
      </c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Q54" s="4" t="s">
        <v>47</v>
      </c>
      <c r="AR54" s="31">
        <v>0.14599999999999999</v>
      </c>
      <c r="AS54" s="31">
        <v>0.107</v>
      </c>
    </row>
    <row r="55" spans="2:45">
      <c r="B55" s="2" t="s">
        <v>48</v>
      </c>
      <c r="C55" s="4">
        <v>0.25</v>
      </c>
      <c r="D55" s="4">
        <v>0.25</v>
      </c>
      <c r="E55" s="4">
        <v>0.25</v>
      </c>
      <c r="F55" s="4">
        <v>0.25</v>
      </c>
      <c r="G55" s="4">
        <v>0.25</v>
      </c>
      <c r="H55" s="4">
        <v>0.25</v>
      </c>
      <c r="I55" s="4">
        <v>0.25</v>
      </c>
      <c r="J55" s="4">
        <v>0.25</v>
      </c>
      <c r="K55" s="4">
        <v>0.25</v>
      </c>
      <c r="L55" s="4">
        <v>0.25</v>
      </c>
      <c r="M55" s="4">
        <v>0.25</v>
      </c>
      <c r="N55" s="4">
        <v>1</v>
      </c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Q55" s="4" t="s">
        <v>48</v>
      </c>
      <c r="AR55" s="31">
        <v>0.14499999999999999</v>
      </c>
      <c r="AS55" s="31">
        <v>0.126</v>
      </c>
    </row>
    <row r="56" spans="2:45">
      <c r="B56" s="2" t="s">
        <v>49</v>
      </c>
      <c r="C56" s="4">
        <v>0.25</v>
      </c>
      <c r="D56" s="4">
        <v>0.25</v>
      </c>
      <c r="E56" s="4">
        <v>0.25</v>
      </c>
      <c r="F56" s="4">
        <v>0.25</v>
      </c>
      <c r="G56" s="4">
        <v>0.25</v>
      </c>
      <c r="H56" s="4">
        <v>0.25</v>
      </c>
      <c r="I56" s="4">
        <v>0.25</v>
      </c>
      <c r="J56" s="4">
        <v>0.25</v>
      </c>
      <c r="K56" s="4">
        <v>0.25</v>
      </c>
      <c r="L56" s="4">
        <v>0.25</v>
      </c>
      <c r="M56" s="4">
        <v>0.25</v>
      </c>
      <c r="N56" s="4">
        <v>0.75</v>
      </c>
      <c r="O56" s="4">
        <v>1</v>
      </c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Q56" s="4" t="s">
        <v>49</v>
      </c>
      <c r="AR56" s="31">
        <v>0.14499999999999999</v>
      </c>
      <c r="AS56" s="31">
        <v>0.126</v>
      </c>
    </row>
    <row r="57" spans="2:45">
      <c r="B57" s="2" t="s">
        <v>50</v>
      </c>
      <c r="C57" s="4">
        <v>0.25</v>
      </c>
      <c r="D57" s="4">
        <v>0.25</v>
      </c>
      <c r="E57" s="4">
        <v>0.25</v>
      </c>
      <c r="F57" s="4">
        <v>0.25</v>
      </c>
      <c r="G57" s="4">
        <v>0.25</v>
      </c>
      <c r="H57" s="4">
        <v>0.25</v>
      </c>
      <c r="I57" s="4">
        <v>0.25</v>
      </c>
      <c r="J57" s="4">
        <v>0.25</v>
      </c>
      <c r="K57" s="4">
        <v>0.25</v>
      </c>
      <c r="L57" s="4">
        <v>0.5</v>
      </c>
      <c r="M57" s="4">
        <v>0.5</v>
      </c>
      <c r="N57" s="4">
        <v>0.5</v>
      </c>
      <c r="O57" s="4">
        <v>0.5</v>
      </c>
      <c r="P57" s="4">
        <v>1</v>
      </c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Q57" s="4" t="s">
        <v>50</v>
      </c>
      <c r="AR57" s="31">
        <v>0.14599999999999999</v>
      </c>
      <c r="AS57" s="31">
        <v>0.107</v>
      </c>
    </row>
    <row r="58" spans="2:45">
      <c r="B58" s="2" t="s">
        <v>51</v>
      </c>
      <c r="C58" s="4">
        <v>0.25</v>
      </c>
      <c r="D58" s="4">
        <v>0.25</v>
      </c>
      <c r="E58" s="4">
        <v>0.25</v>
      </c>
      <c r="F58" s="4">
        <v>0.25</v>
      </c>
      <c r="G58" s="4">
        <v>0.25</v>
      </c>
      <c r="H58" s="4">
        <v>0.25</v>
      </c>
      <c r="I58" s="4">
        <v>0.25</v>
      </c>
      <c r="J58" s="4">
        <v>0.25</v>
      </c>
      <c r="K58" s="4">
        <v>0.25</v>
      </c>
      <c r="L58" s="4">
        <v>0.5</v>
      </c>
      <c r="M58" s="4">
        <v>0.5</v>
      </c>
      <c r="N58" s="4">
        <v>0.5</v>
      </c>
      <c r="O58" s="4">
        <v>0.5</v>
      </c>
      <c r="P58" s="4">
        <v>0.75</v>
      </c>
      <c r="Q58" s="4">
        <v>1</v>
      </c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Q58" s="4" t="s">
        <v>51</v>
      </c>
      <c r="AR58" s="31">
        <v>0.14599999999999999</v>
      </c>
      <c r="AS58" s="31">
        <v>0.107</v>
      </c>
    </row>
    <row r="59" spans="2:45">
      <c r="B59" s="2" t="s">
        <v>52</v>
      </c>
      <c r="C59" s="4">
        <v>0.25</v>
      </c>
      <c r="D59" s="4">
        <v>0.25</v>
      </c>
      <c r="E59" s="4">
        <v>0.25</v>
      </c>
      <c r="F59" s="4">
        <v>0.25</v>
      </c>
      <c r="G59" s="4">
        <v>0.25</v>
      </c>
      <c r="H59" s="4">
        <v>0.25</v>
      </c>
      <c r="I59" s="4">
        <v>0.25</v>
      </c>
      <c r="J59" s="4">
        <v>0.25</v>
      </c>
      <c r="K59" s="4">
        <v>0.25</v>
      </c>
      <c r="L59" s="4">
        <v>0.25</v>
      </c>
      <c r="M59" s="4">
        <v>0.25</v>
      </c>
      <c r="N59" s="4">
        <v>0.25</v>
      </c>
      <c r="O59" s="4">
        <v>0.25</v>
      </c>
      <c r="P59" s="4">
        <v>0.5</v>
      </c>
      <c r="Q59" s="4">
        <v>0.5</v>
      </c>
      <c r="R59" s="4">
        <v>1</v>
      </c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Q59" s="4" t="s">
        <v>52</v>
      </c>
      <c r="AR59" s="31">
        <v>0.14599999999999999</v>
      </c>
      <c r="AS59" s="31">
        <v>0.107</v>
      </c>
    </row>
    <row r="60" spans="2:45">
      <c r="B60" s="2" t="s">
        <v>53</v>
      </c>
      <c r="C60" s="4">
        <v>0.25</v>
      </c>
      <c r="D60" s="4">
        <v>0.25</v>
      </c>
      <c r="E60" s="4">
        <v>0.25</v>
      </c>
      <c r="F60" s="4">
        <v>0.25</v>
      </c>
      <c r="G60" s="4">
        <v>0.25</v>
      </c>
      <c r="H60" s="4">
        <v>0.25</v>
      </c>
      <c r="I60" s="4">
        <v>0.25</v>
      </c>
      <c r="J60" s="4">
        <v>0.25</v>
      </c>
      <c r="K60" s="4">
        <v>0.25</v>
      </c>
      <c r="L60" s="4">
        <v>0.25</v>
      </c>
      <c r="M60" s="4">
        <v>0.25</v>
      </c>
      <c r="N60" s="4">
        <v>0.25</v>
      </c>
      <c r="O60" s="4">
        <v>0.25</v>
      </c>
      <c r="P60" s="4">
        <v>0.5</v>
      </c>
      <c r="Q60" s="4">
        <v>0.5</v>
      </c>
      <c r="R60" s="4">
        <v>0.75</v>
      </c>
      <c r="S60" s="4">
        <v>1</v>
      </c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Q60" s="4" t="s">
        <v>53</v>
      </c>
      <c r="AR60" s="31">
        <v>0.14599999999999999</v>
      </c>
      <c r="AS60" s="31">
        <v>0.107</v>
      </c>
    </row>
    <row r="61" spans="2:45">
      <c r="B61" s="37" t="s">
        <v>73</v>
      </c>
      <c r="C61" s="4">
        <v>0.5</v>
      </c>
      <c r="D61" s="4">
        <v>0.5</v>
      </c>
      <c r="E61" s="4">
        <v>0.25</v>
      </c>
      <c r="F61" s="4">
        <v>0.25</v>
      </c>
      <c r="G61" s="4">
        <v>0.25</v>
      </c>
      <c r="H61" s="4">
        <v>0.25</v>
      </c>
      <c r="I61" s="4">
        <v>0.25</v>
      </c>
      <c r="J61" s="4">
        <v>0.25</v>
      </c>
      <c r="K61" s="4">
        <v>0.25</v>
      </c>
      <c r="L61" s="4">
        <v>0.25</v>
      </c>
      <c r="M61" s="4">
        <v>0.25</v>
      </c>
      <c r="N61" s="4">
        <v>0.25</v>
      </c>
      <c r="O61" s="4">
        <v>0.25</v>
      </c>
      <c r="P61" s="4">
        <v>0.25</v>
      </c>
      <c r="Q61" s="4">
        <v>0.25</v>
      </c>
      <c r="R61" s="4">
        <v>0.25</v>
      </c>
      <c r="S61" s="4">
        <v>0.25</v>
      </c>
      <c r="T61" s="4">
        <v>1</v>
      </c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Q61" s="16" t="s">
        <v>73</v>
      </c>
      <c r="AR61" s="31">
        <v>6.9000000000000006E-2</v>
      </c>
      <c r="AS61" s="31">
        <v>0.13</v>
      </c>
    </row>
    <row r="62" spans="2:45">
      <c r="B62" s="2" t="s">
        <v>54</v>
      </c>
      <c r="C62" s="4">
        <v>0.25</v>
      </c>
      <c r="D62" s="4">
        <v>0.25</v>
      </c>
      <c r="E62" s="4">
        <v>0.25</v>
      </c>
      <c r="F62" s="4">
        <v>0.25</v>
      </c>
      <c r="G62" s="4">
        <v>0.25</v>
      </c>
      <c r="H62" s="4">
        <v>0.25</v>
      </c>
      <c r="I62" s="4">
        <v>0.25</v>
      </c>
      <c r="J62" s="4">
        <v>0.25</v>
      </c>
      <c r="K62" s="4">
        <v>0.25</v>
      </c>
      <c r="L62" s="4">
        <v>0.25</v>
      </c>
      <c r="M62" s="4">
        <v>0.25</v>
      </c>
      <c r="N62" s="4">
        <v>0.25</v>
      </c>
      <c r="O62" s="4">
        <v>0.25</v>
      </c>
      <c r="P62" s="4">
        <v>0.25</v>
      </c>
      <c r="Q62" s="4">
        <v>0.25</v>
      </c>
      <c r="R62" s="4">
        <v>0.25</v>
      </c>
      <c r="S62" s="4">
        <v>0.25</v>
      </c>
      <c r="T62" s="4">
        <v>0.25</v>
      </c>
      <c r="U62" s="4">
        <v>1</v>
      </c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Q62" s="4" t="s">
        <v>54</v>
      </c>
      <c r="AR62" s="31">
        <v>0.128</v>
      </c>
      <c r="AS62" s="31">
        <v>0.10100000000000001</v>
      </c>
    </row>
    <row r="63" spans="2:45">
      <c r="B63" s="2" t="s">
        <v>55</v>
      </c>
      <c r="C63" s="4">
        <v>0.25</v>
      </c>
      <c r="D63" s="4">
        <v>0.25</v>
      </c>
      <c r="E63" s="4">
        <v>0.25</v>
      </c>
      <c r="F63" s="4">
        <v>0.25</v>
      </c>
      <c r="G63" s="4">
        <v>0.25</v>
      </c>
      <c r="H63" s="4">
        <v>0.25</v>
      </c>
      <c r="I63" s="4">
        <v>0.25</v>
      </c>
      <c r="J63" s="4">
        <v>0.25</v>
      </c>
      <c r="K63" s="4">
        <v>0.25</v>
      </c>
      <c r="L63" s="4">
        <v>0.25</v>
      </c>
      <c r="M63" s="4">
        <v>0.25</v>
      </c>
      <c r="N63" s="4">
        <v>0.25</v>
      </c>
      <c r="O63" s="4">
        <v>0.25</v>
      </c>
      <c r="P63" s="4">
        <v>0.25</v>
      </c>
      <c r="Q63" s="4">
        <v>0.25</v>
      </c>
      <c r="R63" s="4">
        <v>0.25</v>
      </c>
      <c r="S63" s="4">
        <v>0.25</v>
      </c>
      <c r="T63" s="4">
        <v>0.25</v>
      </c>
      <c r="U63" s="4">
        <v>0.25</v>
      </c>
      <c r="V63" s="4">
        <v>1</v>
      </c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Q63" s="4" t="s">
        <v>55</v>
      </c>
      <c r="AR63" s="31">
        <v>0.128</v>
      </c>
      <c r="AS63" s="31">
        <v>0.10100000000000001</v>
      </c>
    </row>
    <row r="64" spans="2:45">
      <c r="B64" s="2" t="s">
        <v>56</v>
      </c>
      <c r="C64" s="4">
        <v>0.25</v>
      </c>
      <c r="D64" s="4">
        <v>0.25</v>
      </c>
      <c r="E64" s="4">
        <v>0.25</v>
      </c>
      <c r="F64" s="4">
        <v>0.25</v>
      </c>
      <c r="G64" s="4">
        <v>0.25</v>
      </c>
      <c r="H64" s="4">
        <v>0.25</v>
      </c>
      <c r="I64" s="4">
        <v>0.25</v>
      </c>
      <c r="J64" s="4">
        <v>0.25</v>
      </c>
      <c r="K64" s="4">
        <v>0.25</v>
      </c>
      <c r="L64" s="4">
        <v>0.25</v>
      </c>
      <c r="M64" s="4">
        <v>0.25</v>
      </c>
      <c r="N64" s="4">
        <v>0.25</v>
      </c>
      <c r="O64" s="4">
        <v>0.25</v>
      </c>
      <c r="P64" s="4">
        <v>0.25</v>
      </c>
      <c r="Q64" s="4">
        <v>0.25</v>
      </c>
      <c r="R64" s="4">
        <v>0.25</v>
      </c>
      <c r="S64" s="4">
        <v>0.25</v>
      </c>
      <c r="T64" s="4">
        <v>0.25</v>
      </c>
      <c r="U64" s="4">
        <v>0.5</v>
      </c>
      <c r="V64" s="4">
        <v>0.25</v>
      </c>
      <c r="W64" s="4">
        <v>1</v>
      </c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Q64" s="4" t="s">
        <v>56</v>
      </c>
      <c r="AR64" s="31">
        <v>0.128</v>
      </c>
      <c r="AS64" s="31">
        <v>0.10100000000000001</v>
      </c>
    </row>
    <row r="65" spans="2:45">
      <c r="B65" s="2" t="s">
        <v>57</v>
      </c>
      <c r="C65" s="4">
        <v>0.25</v>
      </c>
      <c r="D65" s="4">
        <v>0.25</v>
      </c>
      <c r="E65" s="4">
        <v>0.25</v>
      </c>
      <c r="F65" s="4">
        <v>0.25</v>
      </c>
      <c r="G65" s="4">
        <v>0.25</v>
      </c>
      <c r="H65" s="4">
        <v>0.25</v>
      </c>
      <c r="I65" s="4">
        <v>0.25</v>
      </c>
      <c r="J65" s="4">
        <v>0.25</v>
      </c>
      <c r="K65" s="4">
        <v>0.25</v>
      </c>
      <c r="L65" s="4">
        <v>0.25</v>
      </c>
      <c r="M65" s="4">
        <v>0.25</v>
      </c>
      <c r="N65" s="4">
        <v>0.25</v>
      </c>
      <c r="O65" s="4">
        <v>0.25</v>
      </c>
      <c r="P65" s="4">
        <v>0.25</v>
      </c>
      <c r="Q65" s="4">
        <v>0.25</v>
      </c>
      <c r="R65" s="4">
        <v>0.25</v>
      </c>
      <c r="S65" s="4">
        <v>0.25</v>
      </c>
      <c r="T65" s="4">
        <v>0.25</v>
      </c>
      <c r="U65" s="4">
        <v>0.5</v>
      </c>
      <c r="V65" s="4">
        <v>0.25</v>
      </c>
      <c r="W65" s="4">
        <v>0.25</v>
      </c>
      <c r="X65" s="4">
        <v>1</v>
      </c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Q65" s="4" t="s">
        <v>57</v>
      </c>
      <c r="AR65" s="31">
        <v>0.128</v>
      </c>
      <c r="AS65" s="31">
        <v>0.10100000000000001</v>
      </c>
    </row>
    <row r="66" spans="2:45">
      <c r="B66" s="2" t="s">
        <v>58</v>
      </c>
      <c r="C66" s="4">
        <v>0.25</v>
      </c>
      <c r="D66" s="4">
        <v>0.25</v>
      </c>
      <c r="E66" s="4">
        <v>0.25</v>
      </c>
      <c r="F66" s="4">
        <v>0.25</v>
      </c>
      <c r="G66" s="4">
        <v>0.25</v>
      </c>
      <c r="H66" s="4">
        <v>0.25</v>
      </c>
      <c r="I66" s="4">
        <v>0.25</v>
      </c>
      <c r="J66" s="4">
        <v>0.25</v>
      </c>
      <c r="K66" s="4">
        <v>0.25</v>
      </c>
      <c r="L66" s="4">
        <v>0.25</v>
      </c>
      <c r="M66" s="4">
        <v>0.25</v>
      </c>
      <c r="N66" s="4">
        <v>0.25</v>
      </c>
      <c r="O66" s="4">
        <v>0.25</v>
      </c>
      <c r="P66" s="4">
        <v>0.25</v>
      </c>
      <c r="Q66" s="4">
        <v>0.25</v>
      </c>
      <c r="R66" s="4">
        <v>0.25</v>
      </c>
      <c r="S66" s="4">
        <v>0.25</v>
      </c>
      <c r="T66" s="4">
        <v>0.5</v>
      </c>
      <c r="U66" s="4">
        <v>0.5</v>
      </c>
      <c r="V66" s="4">
        <v>0.25</v>
      </c>
      <c r="W66" s="4">
        <v>0.5</v>
      </c>
      <c r="X66" s="4">
        <v>0.25</v>
      </c>
      <c r="Y66" s="4">
        <v>1</v>
      </c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Q66" s="4" t="s">
        <v>58</v>
      </c>
      <c r="AR66" s="31">
        <v>0.128</v>
      </c>
      <c r="AS66" s="31">
        <v>0.10100000000000001</v>
      </c>
    </row>
    <row r="67" spans="2:45">
      <c r="B67" s="2" t="s">
        <v>59</v>
      </c>
      <c r="C67" s="4">
        <v>0.25</v>
      </c>
      <c r="D67" s="4">
        <v>0.25</v>
      </c>
      <c r="E67" s="4">
        <v>0.25</v>
      </c>
      <c r="F67" s="4">
        <v>0.25</v>
      </c>
      <c r="G67" s="4">
        <v>0.25</v>
      </c>
      <c r="H67" s="4">
        <v>0.25</v>
      </c>
      <c r="I67" s="4">
        <v>0.25</v>
      </c>
      <c r="J67" s="4">
        <v>0.25</v>
      </c>
      <c r="K67" s="4">
        <v>0.25</v>
      </c>
      <c r="L67" s="4">
        <v>0.25</v>
      </c>
      <c r="M67" s="4">
        <v>0.25</v>
      </c>
      <c r="N67" s="4">
        <v>0.25</v>
      </c>
      <c r="O67" s="4">
        <v>0.25</v>
      </c>
      <c r="P67" s="4">
        <v>0.25</v>
      </c>
      <c r="Q67" s="4">
        <v>0.25</v>
      </c>
      <c r="R67" s="4">
        <v>0.25</v>
      </c>
      <c r="S67" s="4">
        <v>0.25</v>
      </c>
      <c r="T67" s="4">
        <v>0.25</v>
      </c>
      <c r="U67" s="4">
        <v>0.25</v>
      </c>
      <c r="V67" s="4">
        <v>0.25</v>
      </c>
      <c r="W67" s="4">
        <v>0.25</v>
      </c>
      <c r="X67" s="4">
        <v>0.25</v>
      </c>
      <c r="Y67" s="4">
        <v>0.25</v>
      </c>
      <c r="Z67" s="4">
        <v>1</v>
      </c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Q67" s="4" t="s">
        <v>59</v>
      </c>
      <c r="AR67" s="31">
        <v>0.128</v>
      </c>
      <c r="AS67" s="31">
        <v>0.10100000000000001</v>
      </c>
    </row>
    <row r="68" spans="2:45">
      <c r="B68" s="2" t="s">
        <v>60</v>
      </c>
      <c r="C68" s="4">
        <v>0.25</v>
      </c>
      <c r="D68" s="4">
        <v>0.25</v>
      </c>
      <c r="E68" s="4">
        <v>0.25</v>
      </c>
      <c r="F68" s="4">
        <v>0.25</v>
      </c>
      <c r="G68" s="4">
        <v>0.25</v>
      </c>
      <c r="H68" s="4">
        <v>0.25</v>
      </c>
      <c r="I68" s="4">
        <v>0.25</v>
      </c>
      <c r="J68" s="4">
        <v>0.25</v>
      </c>
      <c r="K68" s="4">
        <v>0.25</v>
      </c>
      <c r="L68" s="4">
        <v>0.25</v>
      </c>
      <c r="M68" s="4">
        <v>0.25</v>
      </c>
      <c r="N68" s="4">
        <v>0.25</v>
      </c>
      <c r="O68" s="4">
        <v>0.25</v>
      </c>
      <c r="P68" s="4">
        <v>0.25</v>
      </c>
      <c r="Q68" s="4">
        <v>0.25</v>
      </c>
      <c r="R68" s="4">
        <v>0.25</v>
      </c>
      <c r="S68" s="4">
        <v>0.25</v>
      </c>
      <c r="T68" s="4">
        <v>0.25</v>
      </c>
      <c r="U68" s="4">
        <v>0.5</v>
      </c>
      <c r="V68" s="4">
        <v>0.5</v>
      </c>
      <c r="W68" s="4">
        <v>0.5</v>
      </c>
      <c r="X68" s="4">
        <v>0.5</v>
      </c>
      <c r="Y68" s="4">
        <v>0.5</v>
      </c>
      <c r="Z68" s="4">
        <v>0.5</v>
      </c>
      <c r="AA68" s="4">
        <v>1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Q68" s="4" t="s">
        <v>60</v>
      </c>
      <c r="AR68" s="31">
        <v>0.128</v>
      </c>
      <c r="AS68" s="31">
        <v>0.10100000000000001</v>
      </c>
    </row>
    <row r="69" spans="2:45">
      <c r="B69" s="37" t="s">
        <v>74</v>
      </c>
      <c r="C69" s="4">
        <v>0.25</v>
      </c>
      <c r="D69" s="4">
        <v>0.25</v>
      </c>
      <c r="E69" s="4">
        <v>0.25</v>
      </c>
      <c r="F69" s="4">
        <v>0.25</v>
      </c>
      <c r="G69" s="4">
        <v>0.25</v>
      </c>
      <c r="H69" s="4">
        <v>0.25</v>
      </c>
      <c r="I69" s="4">
        <v>0.25</v>
      </c>
      <c r="J69" s="4">
        <v>0.25</v>
      </c>
      <c r="K69" s="4">
        <v>0.25</v>
      </c>
      <c r="L69" s="4">
        <v>0.25</v>
      </c>
      <c r="M69" s="4">
        <v>0.25</v>
      </c>
      <c r="N69" s="4">
        <v>0.25</v>
      </c>
      <c r="O69" s="4">
        <v>0.25</v>
      </c>
      <c r="P69" s="4">
        <v>0.25</v>
      </c>
      <c r="Q69" s="4">
        <v>0.25</v>
      </c>
      <c r="R69" s="4">
        <v>0.25</v>
      </c>
      <c r="S69" s="4">
        <v>0.25</v>
      </c>
      <c r="T69" s="4">
        <v>0.5</v>
      </c>
      <c r="U69" s="4">
        <v>0.25</v>
      </c>
      <c r="V69" s="4">
        <v>0.25</v>
      </c>
      <c r="W69" s="4">
        <v>0.25</v>
      </c>
      <c r="X69" s="4">
        <v>0.25</v>
      </c>
      <c r="Y69" s="4">
        <v>0.5</v>
      </c>
      <c r="Z69" s="4">
        <v>0.25</v>
      </c>
      <c r="AA69" s="4">
        <v>0.25</v>
      </c>
      <c r="AB69" s="4">
        <v>1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Q69" s="4" t="s">
        <v>74</v>
      </c>
      <c r="AR69" s="31">
        <v>0.121</v>
      </c>
      <c r="AS69" s="31">
        <v>0.19700000000000001</v>
      </c>
    </row>
    <row r="70" spans="2:45">
      <c r="B70" s="37" t="s">
        <v>75</v>
      </c>
      <c r="C70" s="4">
        <v>0.25</v>
      </c>
      <c r="D70" s="4">
        <v>0.25</v>
      </c>
      <c r="E70" s="4">
        <v>0.25</v>
      </c>
      <c r="F70" s="4">
        <v>0.25</v>
      </c>
      <c r="G70" s="4">
        <v>0.25</v>
      </c>
      <c r="H70" s="4">
        <v>0.25</v>
      </c>
      <c r="I70" s="4">
        <v>0.25</v>
      </c>
      <c r="J70" s="4">
        <v>0.25</v>
      </c>
      <c r="K70" s="4">
        <v>0.25</v>
      </c>
      <c r="L70" s="4">
        <v>0.25</v>
      </c>
      <c r="M70" s="4">
        <v>0.25</v>
      </c>
      <c r="N70" s="4">
        <v>0.25</v>
      </c>
      <c r="O70" s="4">
        <v>0.25</v>
      </c>
      <c r="P70" s="4">
        <v>0.25</v>
      </c>
      <c r="Q70" s="4">
        <v>0.25</v>
      </c>
      <c r="R70" s="4">
        <v>0.25</v>
      </c>
      <c r="S70" s="4">
        <v>0.25</v>
      </c>
      <c r="T70" s="4">
        <v>0.5</v>
      </c>
      <c r="U70" s="4">
        <v>0.25</v>
      </c>
      <c r="V70" s="4">
        <v>0.25</v>
      </c>
      <c r="W70" s="4">
        <v>0.25</v>
      </c>
      <c r="X70" s="4">
        <v>0.25</v>
      </c>
      <c r="Y70" s="4">
        <v>0.5</v>
      </c>
      <c r="Z70" s="4">
        <v>0.25</v>
      </c>
      <c r="AA70" s="4">
        <v>0.25</v>
      </c>
      <c r="AB70" s="4">
        <v>0.75</v>
      </c>
      <c r="AC70" s="4">
        <v>1</v>
      </c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Q70" s="4" t="s">
        <v>75</v>
      </c>
      <c r="AR70" s="31">
        <v>0.121</v>
      </c>
      <c r="AS70" s="31">
        <v>0.19700000000000001</v>
      </c>
    </row>
    <row r="71" spans="2:45">
      <c r="B71" s="37" t="s">
        <v>76</v>
      </c>
      <c r="C71" s="4">
        <v>0.25</v>
      </c>
      <c r="D71" s="4">
        <v>0.25</v>
      </c>
      <c r="E71" s="4">
        <v>0.25</v>
      </c>
      <c r="F71" s="4">
        <v>0.25</v>
      </c>
      <c r="G71" s="4">
        <v>0.25</v>
      </c>
      <c r="H71" s="4">
        <v>0.25</v>
      </c>
      <c r="I71" s="4">
        <v>0.25</v>
      </c>
      <c r="J71" s="4">
        <v>0.25</v>
      </c>
      <c r="K71" s="4">
        <v>0.25</v>
      </c>
      <c r="L71" s="4">
        <v>0.25</v>
      </c>
      <c r="M71" s="4">
        <v>0.25</v>
      </c>
      <c r="N71" s="4">
        <v>0.25</v>
      </c>
      <c r="O71" s="4">
        <v>0.25</v>
      </c>
      <c r="P71" s="4">
        <v>0.25</v>
      </c>
      <c r="Q71" s="4">
        <v>0.25</v>
      </c>
      <c r="R71" s="4">
        <v>0.25</v>
      </c>
      <c r="S71" s="4">
        <v>0.25</v>
      </c>
      <c r="T71" s="4">
        <v>0.5</v>
      </c>
      <c r="U71" s="4">
        <v>0.25</v>
      </c>
      <c r="V71" s="4">
        <v>0.25</v>
      </c>
      <c r="W71" s="4">
        <v>0.25</v>
      </c>
      <c r="X71" s="4">
        <v>0.25</v>
      </c>
      <c r="Y71" s="4">
        <v>0.5</v>
      </c>
      <c r="Z71" s="4">
        <v>0.25</v>
      </c>
      <c r="AA71" s="4">
        <v>0.25</v>
      </c>
      <c r="AB71" s="4">
        <v>0.75</v>
      </c>
      <c r="AC71" s="4">
        <v>0.75</v>
      </c>
      <c r="AD71" s="4">
        <v>1</v>
      </c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Q71" s="4" t="s">
        <v>76</v>
      </c>
      <c r="AR71" s="31">
        <v>0.121</v>
      </c>
      <c r="AS71" s="31">
        <v>0.19700000000000001</v>
      </c>
    </row>
    <row r="72" spans="2:45">
      <c r="B72" s="37" t="s">
        <v>77</v>
      </c>
      <c r="C72" s="4">
        <v>0.25</v>
      </c>
      <c r="D72" s="4">
        <v>0.25</v>
      </c>
      <c r="E72" s="4">
        <v>0.25</v>
      </c>
      <c r="F72" s="4">
        <v>0.25</v>
      </c>
      <c r="G72" s="4">
        <v>0.25</v>
      </c>
      <c r="H72" s="4">
        <v>0.25</v>
      </c>
      <c r="I72" s="4">
        <v>0.25</v>
      </c>
      <c r="J72" s="4">
        <v>0.25</v>
      </c>
      <c r="K72" s="4">
        <v>0.25</v>
      </c>
      <c r="L72" s="4">
        <v>0.25</v>
      </c>
      <c r="M72" s="4">
        <v>0.25</v>
      </c>
      <c r="N72" s="4">
        <v>0.25</v>
      </c>
      <c r="O72" s="4">
        <v>0.25</v>
      </c>
      <c r="P72" s="4">
        <v>0.25</v>
      </c>
      <c r="Q72" s="4">
        <v>0.25</v>
      </c>
      <c r="R72" s="4">
        <v>0.25</v>
      </c>
      <c r="S72" s="4">
        <v>0.25</v>
      </c>
      <c r="T72" s="4">
        <v>0.25</v>
      </c>
      <c r="U72" s="4">
        <v>0.25</v>
      </c>
      <c r="V72" s="4">
        <v>0.25</v>
      </c>
      <c r="W72" s="4">
        <v>0.25</v>
      </c>
      <c r="X72" s="4">
        <v>0.25</v>
      </c>
      <c r="Y72" s="4">
        <v>0.25</v>
      </c>
      <c r="Z72" s="4">
        <v>0.25</v>
      </c>
      <c r="AA72" s="4">
        <v>0.25</v>
      </c>
      <c r="AB72" s="4">
        <v>0.25</v>
      </c>
      <c r="AC72" s="4">
        <v>0.75</v>
      </c>
      <c r="AD72" s="4">
        <v>0.75</v>
      </c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/>
      <c r="AQ72" s="4" t="s">
        <v>77</v>
      </c>
      <c r="AR72" s="31">
        <v>9.0999999999999998E-2</v>
      </c>
      <c r="AS72" s="31">
        <v>0.23200000000000001</v>
      </c>
    </row>
    <row r="73" spans="2:45">
      <c r="B73" s="37" t="s">
        <v>78</v>
      </c>
      <c r="C73" s="4">
        <v>0.25</v>
      </c>
      <c r="D73" s="4">
        <v>0.25</v>
      </c>
      <c r="E73" s="4">
        <v>0.25</v>
      </c>
      <c r="F73" s="4">
        <v>0.25</v>
      </c>
      <c r="G73" s="4">
        <v>0.25</v>
      </c>
      <c r="H73" s="4">
        <v>0.25</v>
      </c>
      <c r="I73" s="4">
        <v>0.25</v>
      </c>
      <c r="J73" s="4">
        <v>0.25</v>
      </c>
      <c r="K73" s="4">
        <v>0.25</v>
      </c>
      <c r="L73" s="4">
        <v>0.25</v>
      </c>
      <c r="M73" s="4">
        <v>0.25</v>
      </c>
      <c r="N73" s="4">
        <v>0.25</v>
      </c>
      <c r="O73" s="4">
        <v>0.25</v>
      </c>
      <c r="P73" s="4">
        <v>0.25</v>
      </c>
      <c r="Q73" s="4">
        <v>0.25</v>
      </c>
      <c r="R73" s="4">
        <v>0.25</v>
      </c>
      <c r="S73" s="4">
        <v>0.25</v>
      </c>
      <c r="T73" s="4">
        <v>0.25</v>
      </c>
      <c r="U73" s="4">
        <v>0.25</v>
      </c>
      <c r="V73" s="4">
        <v>0.25</v>
      </c>
      <c r="W73" s="4">
        <v>0.25</v>
      </c>
      <c r="X73" s="4">
        <v>0.25</v>
      </c>
      <c r="Y73" s="4">
        <v>0.25</v>
      </c>
      <c r="Z73" s="4">
        <v>0.5</v>
      </c>
      <c r="AA73" s="4">
        <v>0.25</v>
      </c>
      <c r="AB73" s="4">
        <v>0.25</v>
      </c>
      <c r="AC73" s="4">
        <v>0.25</v>
      </c>
      <c r="AD73" s="4">
        <v>0.25</v>
      </c>
      <c r="AE73" s="4">
        <v>0.25</v>
      </c>
      <c r="AF73" s="4">
        <v>1</v>
      </c>
      <c r="AG73" s="4"/>
      <c r="AH73" s="4"/>
      <c r="AI73" s="4"/>
      <c r="AJ73" s="4"/>
      <c r="AK73" s="4"/>
      <c r="AL73" s="4"/>
      <c r="AM73" s="4"/>
      <c r="AN73" s="4"/>
      <c r="AO73" s="4"/>
      <c r="AQ73" s="4" t="s">
        <v>78</v>
      </c>
      <c r="AR73" s="31">
        <v>0.123</v>
      </c>
      <c r="AS73" s="31">
        <v>0.193</v>
      </c>
    </row>
    <row r="74" spans="2:45">
      <c r="B74" s="2" t="s">
        <v>61</v>
      </c>
      <c r="C74" s="4">
        <v>0.25</v>
      </c>
      <c r="D74" s="4">
        <v>0.25</v>
      </c>
      <c r="E74" s="4">
        <v>0.25</v>
      </c>
      <c r="F74" s="4">
        <v>0.25</v>
      </c>
      <c r="G74" s="4">
        <v>0.25</v>
      </c>
      <c r="H74" s="4">
        <v>0.25</v>
      </c>
      <c r="I74" s="4">
        <v>0.25</v>
      </c>
      <c r="J74" s="4">
        <v>0.25</v>
      </c>
      <c r="K74" s="4">
        <v>0.25</v>
      </c>
      <c r="L74" s="4">
        <v>0.25</v>
      </c>
      <c r="M74" s="4">
        <v>0.25</v>
      </c>
      <c r="N74" s="4">
        <v>0.25</v>
      </c>
      <c r="O74" s="4">
        <v>0.25</v>
      </c>
      <c r="P74" s="4">
        <v>0.25</v>
      </c>
      <c r="Q74" s="4">
        <v>0.25</v>
      </c>
      <c r="R74" s="4">
        <v>0.25</v>
      </c>
      <c r="S74" s="4">
        <v>0.25</v>
      </c>
      <c r="T74" s="4">
        <v>0.25</v>
      </c>
      <c r="U74" s="4">
        <v>0.25</v>
      </c>
      <c r="V74" s="4">
        <v>0.25</v>
      </c>
      <c r="W74" s="4">
        <v>0.25</v>
      </c>
      <c r="X74" s="4">
        <v>0.25</v>
      </c>
      <c r="Y74" s="4">
        <v>0.25</v>
      </c>
      <c r="Z74" s="4">
        <v>0.25</v>
      </c>
      <c r="AA74" s="4">
        <v>0.25</v>
      </c>
      <c r="AB74" s="4">
        <v>0.25</v>
      </c>
      <c r="AC74" s="4">
        <v>0.25</v>
      </c>
      <c r="AD74" s="4">
        <v>0.25</v>
      </c>
      <c r="AE74" s="4">
        <v>0.25</v>
      </c>
      <c r="AF74" s="4">
        <v>0.25</v>
      </c>
      <c r="AG74" s="4">
        <v>1</v>
      </c>
      <c r="AH74" s="4"/>
      <c r="AI74" s="4"/>
      <c r="AJ74" s="4"/>
      <c r="AK74" s="4"/>
      <c r="AL74" s="4"/>
      <c r="AM74" s="4"/>
      <c r="AN74" s="4"/>
      <c r="AO74" s="4"/>
      <c r="AQ74" s="4" t="s">
        <v>61</v>
      </c>
      <c r="AR74" s="31">
        <v>9.0999999999999998E-2</v>
      </c>
      <c r="AS74" s="31">
        <v>0.23200000000000001</v>
      </c>
    </row>
    <row r="75" spans="2:45">
      <c r="B75" s="2" t="s">
        <v>62</v>
      </c>
      <c r="C75" s="4">
        <v>0.25</v>
      </c>
      <c r="D75" s="4">
        <v>0.25</v>
      </c>
      <c r="E75" s="4">
        <v>0.25</v>
      </c>
      <c r="F75" s="4">
        <v>0.25</v>
      </c>
      <c r="G75" s="4">
        <v>0.25</v>
      </c>
      <c r="H75" s="4">
        <v>0.25</v>
      </c>
      <c r="I75" s="4">
        <v>0.25</v>
      </c>
      <c r="J75" s="4">
        <v>0.25</v>
      </c>
      <c r="K75" s="4">
        <v>0.25</v>
      </c>
      <c r="L75" s="4">
        <v>0.25</v>
      </c>
      <c r="M75" s="4">
        <v>0.25</v>
      </c>
      <c r="N75" s="4">
        <v>0.25</v>
      </c>
      <c r="O75" s="4">
        <v>0.25</v>
      </c>
      <c r="P75" s="4">
        <v>0.25</v>
      </c>
      <c r="Q75" s="4">
        <v>0.25</v>
      </c>
      <c r="R75" s="4">
        <v>0.25</v>
      </c>
      <c r="S75" s="4">
        <v>0.25</v>
      </c>
      <c r="T75" s="4">
        <v>0.25</v>
      </c>
      <c r="U75" s="4">
        <v>0.25</v>
      </c>
      <c r="V75" s="4">
        <v>0.25</v>
      </c>
      <c r="W75" s="4">
        <v>0.25</v>
      </c>
      <c r="X75" s="4">
        <v>0.25</v>
      </c>
      <c r="Y75" s="4">
        <v>0.25</v>
      </c>
      <c r="Z75" s="4">
        <v>0.25</v>
      </c>
      <c r="AA75" s="4">
        <v>0.25</v>
      </c>
      <c r="AB75" s="4">
        <v>0.25</v>
      </c>
      <c r="AC75" s="4">
        <v>0.25</v>
      </c>
      <c r="AD75" s="4">
        <v>0.25</v>
      </c>
      <c r="AE75" s="4">
        <v>0.25</v>
      </c>
      <c r="AF75" s="4">
        <v>0.25</v>
      </c>
      <c r="AG75" s="4">
        <v>0.25</v>
      </c>
      <c r="AH75" s="4">
        <v>1</v>
      </c>
      <c r="AI75" s="4"/>
      <c r="AJ75" s="4"/>
      <c r="AK75" s="4"/>
      <c r="AL75" s="4"/>
      <c r="AM75" s="4"/>
      <c r="AN75" s="4"/>
      <c r="AO75" s="4"/>
      <c r="AQ75" s="4" t="s">
        <v>62</v>
      </c>
      <c r="AR75" s="31">
        <v>9.0999999999999998E-2</v>
      </c>
      <c r="AS75" s="31">
        <v>0.23200000000000001</v>
      </c>
    </row>
    <row r="76" spans="2:45">
      <c r="B76" s="2" t="s">
        <v>63</v>
      </c>
      <c r="C76" s="4">
        <v>0.5</v>
      </c>
      <c r="D76" s="4">
        <v>0.5</v>
      </c>
      <c r="E76" s="4">
        <v>0.5</v>
      </c>
      <c r="F76" s="4">
        <v>0.5</v>
      </c>
      <c r="G76" s="4">
        <v>0.5</v>
      </c>
      <c r="H76" s="4">
        <v>0.5</v>
      </c>
      <c r="I76" s="4">
        <v>0.5</v>
      </c>
      <c r="J76" s="4">
        <v>0.5</v>
      </c>
      <c r="K76" s="4">
        <v>0.5</v>
      </c>
      <c r="L76" s="4">
        <v>0.5</v>
      </c>
      <c r="M76" s="4">
        <v>0.5</v>
      </c>
      <c r="N76" s="4">
        <v>0.5</v>
      </c>
      <c r="O76" s="4">
        <v>0.5</v>
      </c>
      <c r="P76" s="4">
        <v>0.5</v>
      </c>
      <c r="Q76" s="4">
        <v>0.5</v>
      </c>
      <c r="R76" s="4">
        <v>0.5</v>
      </c>
      <c r="S76" s="4">
        <v>0.5</v>
      </c>
      <c r="T76" s="4">
        <v>0.5</v>
      </c>
      <c r="U76" s="4">
        <v>0.5</v>
      </c>
      <c r="V76" s="4">
        <v>0.5</v>
      </c>
      <c r="W76" s="4">
        <v>0.5</v>
      </c>
      <c r="X76" s="4">
        <v>0.5</v>
      </c>
      <c r="Y76" s="4">
        <v>0.5</v>
      </c>
      <c r="Z76" s="4">
        <v>0.5</v>
      </c>
      <c r="AA76" s="4">
        <v>0.5</v>
      </c>
      <c r="AB76" s="4">
        <v>0.5</v>
      </c>
      <c r="AC76" s="4">
        <v>0.5</v>
      </c>
      <c r="AD76" s="4">
        <v>0.5</v>
      </c>
      <c r="AE76" s="4">
        <v>0.5</v>
      </c>
      <c r="AF76" s="4">
        <v>0.5</v>
      </c>
      <c r="AG76" s="4">
        <v>0.5</v>
      </c>
      <c r="AH76" s="4">
        <v>0.5</v>
      </c>
      <c r="AI76" s="4">
        <v>1</v>
      </c>
      <c r="AJ76" s="4"/>
      <c r="AK76" s="4"/>
      <c r="AL76" s="4"/>
      <c r="AM76" s="4"/>
      <c r="AN76" s="4"/>
      <c r="AO76" s="4"/>
      <c r="AQ76" s="4" t="s">
        <v>63</v>
      </c>
      <c r="AR76" s="31">
        <v>9.0999999999999998E-2</v>
      </c>
      <c r="AS76" s="31">
        <v>0.23200000000000001</v>
      </c>
    </row>
    <row r="77" spans="2:45">
      <c r="B77" s="2" t="s">
        <v>64</v>
      </c>
      <c r="C77" s="4">
        <v>0.25</v>
      </c>
      <c r="D77" s="4">
        <v>0.25</v>
      </c>
      <c r="E77" s="4">
        <v>0.25</v>
      </c>
      <c r="F77" s="4">
        <v>0.25</v>
      </c>
      <c r="G77" s="4">
        <v>0.25</v>
      </c>
      <c r="H77" s="4">
        <v>0.25</v>
      </c>
      <c r="I77" s="4">
        <v>0.25</v>
      </c>
      <c r="J77" s="4">
        <v>0.25</v>
      </c>
      <c r="K77" s="4">
        <v>0.25</v>
      </c>
      <c r="L77" s="4">
        <v>0.25</v>
      </c>
      <c r="M77" s="4">
        <v>0.25</v>
      </c>
      <c r="N77" s="4">
        <v>0.25</v>
      </c>
      <c r="O77" s="4">
        <v>0.25</v>
      </c>
      <c r="P77" s="4">
        <v>0.25</v>
      </c>
      <c r="Q77" s="4">
        <v>0.25</v>
      </c>
      <c r="R77" s="4">
        <v>0.25</v>
      </c>
      <c r="S77" s="4">
        <v>0.25</v>
      </c>
      <c r="T77" s="4">
        <v>0.25</v>
      </c>
      <c r="U77" s="4">
        <v>0.25</v>
      </c>
      <c r="V77" s="4">
        <v>0.25</v>
      </c>
      <c r="W77" s="4">
        <v>0.25</v>
      </c>
      <c r="X77" s="4">
        <v>0.25</v>
      </c>
      <c r="Y77" s="4">
        <v>0.25</v>
      </c>
      <c r="Z77" s="4">
        <v>0.25</v>
      </c>
      <c r="AA77" s="4">
        <v>0.25</v>
      </c>
      <c r="AB77" s="4">
        <v>0.25</v>
      </c>
      <c r="AC77" s="4">
        <v>0.25</v>
      </c>
      <c r="AD77" s="4">
        <v>0.25</v>
      </c>
      <c r="AE77" s="4">
        <v>0.25</v>
      </c>
      <c r="AF77" s="4">
        <v>0.25</v>
      </c>
      <c r="AG77" s="4">
        <v>0.25</v>
      </c>
      <c r="AH77" s="4">
        <v>0.25</v>
      </c>
      <c r="AI77" s="4">
        <v>0.25</v>
      </c>
      <c r="AJ77" s="4">
        <v>1</v>
      </c>
      <c r="AK77" s="4"/>
      <c r="AL77" s="4"/>
      <c r="AM77" s="4"/>
      <c r="AN77" s="4"/>
      <c r="AO77" s="4"/>
      <c r="AQ77" s="4" t="s">
        <v>64</v>
      </c>
      <c r="AR77" s="31">
        <v>0.14899999999999999</v>
      </c>
      <c r="AS77" s="31">
        <v>0.11</v>
      </c>
    </row>
    <row r="78" spans="2:45">
      <c r="B78" s="2" t="s">
        <v>65</v>
      </c>
      <c r="C78" s="4">
        <v>0.25</v>
      </c>
      <c r="D78" s="4">
        <v>0.25</v>
      </c>
      <c r="E78" s="4">
        <v>0.25</v>
      </c>
      <c r="F78" s="4">
        <v>0.25</v>
      </c>
      <c r="G78" s="4">
        <v>0.25</v>
      </c>
      <c r="H78" s="4">
        <v>0.25</v>
      </c>
      <c r="I78" s="4">
        <v>0.25</v>
      </c>
      <c r="J78" s="4">
        <v>0.25</v>
      </c>
      <c r="K78" s="4">
        <v>0.25</v>
      </c>
      <c r="L78" s="4">
        <v>0.25</v>
      </c>
      <c r="M78" s="4">
        <v>0.25</v>
      </c>
      <c r="N78" s="4">
        <v>0.25</v>
      </c>
      <c r="O78" s="4">
        <v>0.25</v>
      </c>
      <c r="P78" s="4">
        <v>0.25</v>
      </c>
      <c r="Q78" s="4">
        <v>0.25</v>
      </c>
      <c r="R78" s="4">
        <v>0.25</v>
      </c>
      <c r="S78" s="4">
        <v>0.25</v>
      </c>
      <c r="T78" s="4">
        <v>0.25</v>
      </c>
      <c r="U78" s="4">
        <v>0.25</v>
      </c>
      <c r="V78" s="4">
        <v>0.25</v>
      </c>
      <c r="W78" s="4">
        <v>0.25</v>
      </c>
      <c r="X78" s="4">
        <v>0.25</v>
      </c>
      <c r="Y78" s="4">
        <v>0.25</v>
      </c>
      <c r="Z78" s="4">
        <v>0.25</v>
      </c>
      <c r="AA78" s="4">
        <v>0.25</v>
      </c>
      <c r="AB78" s="4">
        <v>0.25</v>
      </c>
      <c r="AC78" s="4">
        <v>0.25</v>
      </c>
      <c r="AD78" s="4">
        <v>0.25</v>
      </c>
      <c r="AE78" s="4">
        <v>0.25</v>
      </c>
      <c r="AF78" s="4">
        <v>0.25</v>
      </c>
      <c r="AG78" s="4">
        <v>0.25</v>
      </c>
      <c r="AH78" s="4">
        <v>0.25</v>
      </c>
      <c r="AI78" s="4">
        <v>0.25</v>
      </c>
      <c r="AJ78" s="4">
        <v>0.75</v>
      </c>
      <c r="AK78" s="4">
        <v>1</v>
      </c>
      <c r="AL78" s="4"/>
      <c r="AM78" s="4"/>
      <c r="AN78" s="4"/>
      <c r="AO78" s="4"/>
      <c r="AQ78" s="4" t="s">
        <v>65</v>
      </c>
      <c r="AR78" s="31">
        <v>0.14899999999999999</v>
      </c>
      <c r="AS78" s="31">
        <v>0.11</v>
      </c>
    </row>
    <row r="79" spans="2:45">
      <c r="B79" s="2" t="s">
        <v>66</v>
      </c>
      <c r="C79" s="4">
        <v>0.25</v>
      </c>
      <c r="D79" s="4">
        <v>0.25</v>
      </c>
      <c r="E79" s="4">
        <v>0.25</v>
      </c>
      <c r="F79" s="4">
        <v>0.25</v>
      </c>
      <c r="G79" s="4">
        <v>0.25</v>
      </c>
      <c r="H79" s="4">
        <v>0.25</v>
      </c>
      <c r="I79" s="4">
        <v>0.25</v>
      </c>
      <c r="J79" s="4">
        <v>0.25</v>
      </c>
      <c r="K79" s="4">
        <v>0.25</v>
      </c>
      <c r="L79" s="4">
        <v>0.25</v>
      </c>
      <c r="M79" s="4">
        <v>0.25</v>
      </c>
      <c r="N79" s="4">
        <v>0.25</v>
      </c>
      <c r="O79" s="4">
        <v>0.25</v>
      </c>
      <c r="P79" s="4">
        <v>0.25</v>
      </c>
      <c r="Q79" s="4">
        <v>0.25</v>
      </c>
      <c r="R79" s="4">
        <v>0.25</v>
      </c>
      <c r="S79" s="4">
        <v>0.25</v>
      </c>
      <c r="T79" s="4">
        <v>0.25</v>
      </c>
      <c r="U79" s="4">
        <v>0.25</v>
      </c>
      <c r="V79" s="4">
        <v>0.25</v>
      </c>
      <c r="W79" s="4">
        <v>0.25</v>
      </c>
      <c r="X79" s="4">
        <v>0.25</v>
      </c>
      <c r="Y79" s="4">
        <v>0.25</v>
      </c>
      <c r="Z79" s="4">
        <v>0.25</v>
      </c>
      <c r="AA79" s="4">
        <v>0.25</v>
      </c>
      <c r="AB79" s="4">
        <v>0.25</v>
      </c>
      <c r="AC79" s="4">
        <v>0.25</v>
      </c>
      <c r="AD79" s="4">
        <v>0.25</v>
      </c>
      <c r="AE79" s="4">
        <v>0.25</v>
      </c>
      <c r="AF79" s="4">
        <v>0.25</v>
      </c>
      <c r="AG79" s="4">
        <v>0.25</v>
      </c>
      <c r="AH79" s="4">
        <v>0.25</v>
      </c>
      <c r="AI79" s="4">
        <v>0.25</v>
      </c>
      <c r="AJ79" s="4">
        <v>0.5</v>
      </c>
      <c r="AK79" s="4">
        <v>0.5</v>
      </c>
      <c r="AL79" s="4">
        <v>1</v>
      </c>
      <c r="AM79" s="4"/>
      <c r="AN79" s="4"/>
      <c r="AO79" s="4"/>
      <c r="AQ79" s="4" t="s">
        <v>66</v>
      </c>
      <c r="AR79" s="31">
        <v>0.14899999999999999</v>
      </c>
      <c r="AS79" s="31">
        <v>0.11</v>
      </c>
    </row>
    <row r="80" spans="2:45">
      <c r="B80" s="2" t="s">
        <v>67</v>
      </c>
      <c r="C80" s="4">
        <v>0.25</v>
      </c>
      <c r="D80" s="4">
        <v>0.25</v>
      </c>
      <c r="E80" s="4">
        <v>0.25</v>
      </c>
      <c r="F80" s="4">
        <v>0.25</v>
      </c>
      <c r="G80" s="4">
        <v>0.25</v>
      </c>
      <c r="H80" s="4">
        <v>0.25</v>
      </c>
      <c r="I80" s="4">
        <v>0.25</v>
      </c>
      <c r="J80" s="4">
        <v>0.25</v>
      </c>
      <c r="K80" s="4">
        <v>0.25</v>
      </c>
      <c r="L80" s="4">
        <v>0.25</v>
      </c>
      <c r="M80" s="4">
        <v>0.25</v>
      </c>
      <c r="N80" s="4">
        <v>0.25</v>
      </c>
      <c r="O80" s="4">
        <v>0.25</v>
      </c>
      <c r="P80" s="4">
        <v>0.25</v>
      </c>
      <c r="Q80" s="4">
        <v>0.25</v>
      </c>
      <c r="R80" s="4">
        <v>0.25</v>
      </c>
      <c r="S80" s="4">
        <v>0.25</v>
      </c>
      <c r="T80" s="4">
        <v>0.25</v>
      </c>
      <c r="U80" s="4">
        <v>0.25</v>
      </c>
      <c r="V80" s="4">
        <v>0.25</v>
      </c>
      <c r="W80" s="4">
        <v>0.25</v>
      </c>
      <c r="X80" s="4">
        <v>0.25</v>
      </c>
      <c r="Y80" s="4">
        <v>0.25</v>
      </c>
      <c r="Z80" s="4">
        <v>0.25</v>
      </c>
      <c r="AA80" s="4">
        <v>0.25</v>
      </c>
      <c r="AB80" s="4">
        <v>0.25</v>
      </c>
      <c r="AC80" s="4">
        <v>0.25</v>
      </c>
      <c r="AD80" s="4">
        <v>0.25</v>
      </c>
      <c r="AE80" s="4">
        <v>0.25</v>
      </c>
      <c r="AF80" s="4">
        <v>0.25</v>
      </c>
      <c r="AG80" s="4">
        <v>0.25</v>
      </c>
      <c r="AH80" s="4">
        <v>0.25</v>
      </c>
      <c r="AI80" s="4">
        <v>0.25</v>
      </c>
      <c r="AJ80" s="4">
        <v>0.25</v>
      </c>
      <c r="AK80" s="4">
        <v>0.25</v>
      </c>
      <c r="AL80" s="4">
        <v>0.25</v>
      </c>
      <c r="AM80" s="4">
        <v>1</v>
      </c>
      <c r="AN80" s="4"/>
      <c r="AO80" s="4"/>
      <c r="AQ80" s="4" t="s">
        <v>67</v>
      </c>
      <c r="AR80" s="31">
        <v>0.14899999999999999</v>
      </c>
      <c r="AS80" s="31">
        <v>0.11</v>
      </c>
    </row>
    <row r="81" spans="1:45">
      <c r="B81" s="2" t="s">
        <v>68</v>
      </c>
      <c r="C81" s="4">
        <v>0.25</v>
      </c>
      <c r="D81" s="4">
        <v>0.25</v>
      </c>
      <c r="E81" s="4">
        <v>0.25</v>
      </c>
      <c r="F81" s="4">
        <v>0.25</v>
      </c>
      <c r="G81" s="4">
        <v>0.25</v>
      </c>
      <c r="H81" s="4">
        <v>0.25</v>
      </c>
      <c r="I81" s="4">
        <v>0.25</v>
      </c>
      <c r="J81" s="4">
        <v>0.25</v>
      </c>
      <c r="K81" s="4">
        <v>0.25</v>
      </c>
      <c r="L81" s="4">
        <v>0.25</v>
      </c>
      <c r="M81" s="4">
        <v>0.25</v>
      </c>
      <c r="N81" s="4">
        <v>0.25</v>
      </c>
      <c r="O81" s="4">
        <v>0.25</v>
      </c>
      <c r="P81" s="4">
        <v>0.25</v>
      </c>
      <c r="Q81" s="4">
        <v>0.25</v>
      </c>
      <c r="R81" s="4">
        <v>0.25</v>
      </c>
      <c r="S81" s="4">
        <v>0.25</v>
      </c>
      <c r="T81" s="4">
        <v>0.25</v>
      </c>
      <c r="U81" s="4">
        <v>0.25</v>
      </c>
      <c r="V81" s="4">
        <v>0.25</v>
      </c>
      <c r="W81" s="4">
        <v>0.25</v>
      </c>
      <c r="X81" s="4">
        <v>0.25</v>
      </c>
      <c r="Y81" s="4">
        <v>0.25</v>
      </c>
      <c r="Z81" s="4">
        <v>0.25</v>
      </c>
      <c r="AA81" s="4">
        <v>0.25</v>
      </c>
      <c r="AB81" s="4">
        <v>0.25</v>
      </c>
      <c r="AC81" s="4">
        <v>0.25</v>
      </c>
      <c r="AD81" s="4">
        <v>0.25</v>
      </c>
      <c r="AE81" s="4">
        <v>0.25</v>
      </c>
      <c r="AF81" s="4">
        <v>0.25</v>
      </c>
      <c r="AG81" s="4">
        <v>0.25</v>
      </c>
      <c r="AH81" s="4">
        <v>0.25</v>
      </c>
      <c r="AI81" s="4">
        <v>0.25</v>
      </c>
      <c r="AJ81" s="4">
        <v>0.25</v>
      </c>
      <c r="AK81" s="4">
        <v>0.25</v>
      </c>
      <c r="AL81" s="4">
        <v>0.25</v>
      </c>
      <c r="AM81" s="4">
        <v>0.25</v>
      </c>
      <c r="AN81" s="4">
        <v>1</v>
      </c>
      <c r="AO81" s="4"/>
      <c r="AQ81" s="4" t="s">
        <v>68</v>
      </c>
      <c r="AR81" s="31">
        <v>0.17499999999999999</v>
      </c>
      <c r="AS81" s="6">
        <v>0.2</v>
      </c>
    </row>
    <row r="82" spans="1:45">
      <c r="B82" s="2" t="s">
        <v>69</v>
      </c>
      <c r="C82" s="7">
        <v>0.25</v>
      </c>
      <c r="D82" s="7">
        <v>0.25</v>
      </c>
      <c r="E82" s="7">
        <v>0.25</v>
      </c>
      <c r="F82" s="7">
        <v>0.25</v>
      </c>
      <c r="G82" s="7">
        <v>0.25</v>
      </c>
      <c r="H82" s="7">
        <v>0.25</v>
      </c>
      <c r="I82" s="7">
        <v>0.25</v>
      </c>
      <c r="J82" s="7">
        <v>0.25</v>
      </c>
      <c r="K82" s="7">
        <v>0.25</v>
      </c>
      <c r="L82" s="7">
        <v>0.25</v>
      </c>
      <c r="M82" s="7">
        <v>0.25</v>
      </c>
      <c r="N82" s="7">
        <v>0.25</v>
      </c>
      <c r="O82" s="7">
        <v>0.25</v>
      </c>
      <c r="P82" s="7">
        <v>0.25</v>
      </c>
      <c r="Q82" s="7">
        <v>0.25</v>
      </c>
      <c r="R82" s="7">
        <v>0.25</v>
      </c>
      <c r="S82" s="7">
        <v>0.25</v>
      </c>
      <c r="T82" s="7">
        <v>0.25</v>
      </c>
      <c r="U82" s="7">
        <v>0.25</v>
      </c>
      <c r="V82" s="7">
        <v>0.25</v>
      </c>
      <c r="W82" s="7">
        <v>0.25</v>
      </c>
      <c r="X82" s="7">
        <v>0.25</v>
      </c>
      <c r="Y82" s="7">
        <v>0.25</v>
      </c>
      <c r="Z82" s="7">
        <v>0.25</v>
      </c>
      <c r="AA82" s="7">
        <v>0.25</v>
      </c>
      <c r="AB82" s="7">
        <v>0.25</v>
      </c>
      <c r="AC82" s="7">
        <v>0.25</v>
      </c>
      <c r="AD82" s="7">
        <v>0.25</v>
      </c>
      <c r="AE82" s="7">
        <v>0.25</v>
      </c>
      <c r="AF82" s="7">
        <v>0.25</v>
      </c>
      <c r="AG82" s="7">
        <v>0.25</v>
      </c>
      <c r="AH82" s="7">
        <v>0.25</v>
      </c>
      <c r="AI82" s="7">
        <v>0.25</v>
      </c>
      <c r="AJ82" s="7">
        <v>0.25</v>
      </c>
      <c r="AK82" s="7">
        <v>0.25</v>
      </c>
      <c r="AL82" s="7">
        <v>0.25</v>
      </c>
      <c r="AM82" s="7">
        <v>0.25</v>
      </c>
      <c r="AN82" s="7">
        <v>0.25</v>
      </c>
      <c r="AO82" s="7">
        <v>1</v>
      </c>
      <c r="AQ82" s="7" t="s">
        <v>69</v>
      </c>
      <c r="AR82" s="32">
        <v>0.17499999999999999</v>
      </c>
      <c r="AS82" s="8">
        <v>0.2</v>
      </c>
    </row>
    <row r="85" spans="1:45">
      <c r="A85" s="27" t="s">
        <v>140</v>
      </c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</row>
    <row r="87" spans="1:45">
      <c r="B87" s="1" t="s">
        <v>97</v>
      </c>
      <c r="C87" s="1">
        <v>1</v>
      </c>
      <c r="D87" s="1">
        <v>2</v>
      </c>
      <c r="E87" s="1">
        <v>3</v>
      </c>
      <c r="F87" s="1">
        <v>5</v>
      </c>
      <c r="G87" s="1">
        <v>10</v>
      </c>
      <c r="H87" s="1">
        <v>15</v>
      </c>
      <c r="I87" s="1">
        <v>20</v>
      </c>
    </row>
    <row r="88" spans="1:45">
      <c r="B88" s="3">
        <v>0</v>
      </c>
      <c r="C88" s="30">
        <v>0</v>
      </c>
      <c r="D88" s="30">
        <v>0</v>
      </c>
      <c r="E88" s="30">
        <v>0</v>
      </c>
      <c r="F88" s="30">
        <v>0</v>
      </c>
      <c r="G88" s="30">
        <v>0</v>
      </c>
      <c r="H88" s="30">
        <v>0</v>
      </c>
      <c r="I88" s="30">
        <v>0</v>
      </c>
    </row>
    <row r="89" spans="1:45">
      <c r="B89" s="4">
        <v>1</v>
      </c>
      <c r="C89" s="31">
        <v>1.4E-3</v>
      </c>
      <c r="D89" s="31">
        <v>2.7000000000000001E-3</v>
      </c>
      <c r="E89" s="31">
        <v>4.0000000000000001E-3</v>
      </c>
      <c r="F89" s="31">
        <v>6.4999999999999997E-3</v>
      </c>
      <c r="G89" s="31">
        <v>1.2999999999999999E-2</v>
      </c>
      <c r="H89" s="31">
        <v>1.9400000000000001E-2</v>
      </c>
      <c r="I89" s="31">
        <v>2.58E-2</v>
      </c>
    </row>
    <row r="90" spans="1:45">
      <c r="B90" s="4">
        <v>2</v>
      </c>
      <c r="C90" s="31">
        <v>2.5999999999999999E-3</v>
      </c>
      <c r="D90" s="31">
        <v>4.4000000000000003E-3</v>
      </c>
      <c r="E90" s="31">
        <v>6.1999999999999998E-3</v>
      </c>
      <c r="F90" s="31">
        <v>9.7999999999999997E-3</v>
      </c>
      <c r="G90" s="31">
        <v>1.8800000000000001E-2</v>
      </c>
      <c r="H90" s="31">
        <v>2.7799999999999998E-2</v>
      </c>
      <c r="I90" s="31">
        <v>3.6799999999999999E-2</v>
      </c>
    </row>
    <row r="91" spans="1:45">
      <c r="B91" s="4">
        <v>3</v>
      </c>
      <c r="C91" s="31">
        <v>3.5999999999999999E-3</v>
      </c>
      <c r="D91" s="31">
        <v>5.7999999999999996E-3</v>
      </c>
      <c r="E91" s="31">
        <v>8.0000000000000002E-3</v>
      </c>
      <c r="F91" s="31">
        <v>1.24E-2</v>
      </c>
      <c r="G91" s="31">
        <v>2.3400000000000001E-2</v>
      </c>
      <c r="H91" s="31">
        <v>3.44E-2</v>
      </c>
      <c r="I91" s="31">
        <v>4.5400000000000003E-2</v>
      </c>
    </row>
    <row r="92" spans="1:45">
      <c r="B92" s="4">
        <v>4</v>
      </c>
      <c r="C92" s="31">
        <v>6.4999999999999997E-3</v>
      </c>
      <c r="D92" s="31">
        <v>9.5999999999999992E-3</v>
      </c>
      <c r="E92" s="31">
        <v>1.2699999999999999E-2</v>
      </c>
      <c r="F92" s="31">
        <v>1.8800000000000001E-2</v>
      </c>
      <c r="G92" s="31">
        <v>3.4200000000000001E-2</v>
      </c>
      <c r="H92" s="31">
        <v>4.9599999999999998E-2</v>
      </c>
      <c r="I92" s="31">
        <v>6.4899999999999999E-2</v>
      </c>
    </row>
    <row r="93" spans="1:45">
      <c r="B93" s="4">
        <v>5</v>
      </c>
      <c r="C93" s="31">
        <v>9.1000000000000004E-3</v>
      </c>
      <c r="D93" s="31">
        <v>1.2800000000000001E-2</v>
      </c>
      <c r="E93" s="31">
        <v>1.66E-2</v>
      </c>
      <c r="F93" s="31">
        <v>2.4E-2</v>
      </c>
      <c r="G93" s="31">
        <v>4.2599999999999999E-2</v>
      </c>
      <c r="H93" s="31">
        <v>6.1100000000000002E-2</v>
      </c>
      <c r="I93" s="31">
        <v>7.9699999999999993E-2</v>
      </c>
    </row>
    <row r="94" spans="1:45">
      <c r="B94" s="4">
        <v>6</v>
      </c>
      <c r="C94" s="31">
        <v>1.0699999999999999E-2</v>
      </c>
      <c r="D94" s="31">
        <v>1.4800000000000001E-2</v>
      </c>
      <c r="E94" s="31">
        <v>1.89E-2</v>
      </c>
      <c r="F94" s="31">
        <v>2.7E-2</v>
      </c>
      <c r="G94" s="31">
        <v>4.7300000000000002E-2</v>
      </c>
      <c r="H94" s="31">
        <v>6.7699999999999996E-2</v>
      </c>
      <c r="I94" s="31">
        <v>8.7999999999999995E-2</v>
      </c>
    </row>
    <row r="95" spans="1:45">
      <c r="B95" s="4">
        <v>7</v>
      </c>
      <c r="C95" s="31">
        <v>1.44E-2</v>
      </c>
      <c r="D95" s="31">
        <v>1.9199999999999998E-2</v>
      </c>
      <c r="E95" s="31">
        <v>2.4E-2</v>
      </c>
      <c r="F95" s="31">
        <v>3.3500000000000002E-2</v>
      </c>
      <c r="G95" s="31">
        <v>5.7500000000000002E-2</v>
      </c>
      <c r="H95" s="31">
        <v>8.14E-2</v>
      </c>
      <c r="I95" s="31">
        <v>0.10539999999999999</v>
      </c>
    </row>
    <row r="96" spans="1:45">
      <c r="B96" s="4">
        <v>8</v>
      </c>
      <c r="C96" s="31">
        <v>1.83E-2</v>
      </c>
      <c r="D96" s="31">
        <v>2.3800000000000002E-2</v>
      </c>
      <c r="E96" s="31">
        <v>2.92E-2</v>
      </c>
      <c r="F96" s="31">
        <v>4.0099999999999997E-2</v>
      </c>
      <c r="G96" s="31">
        <v>6.7400000000000002E-2</v>
      </c>
      <c r="H96" s="31">
        <v>9.4600000000000004E-2</v>
      </c>
      <c r="I96" s="31">
        <v>0.12189999999999999</v>
      </c>
    </row>
    <row r="97" spans="1:45">
      <c r="B97" s="4">
        <v>9</v>
      </c>
      <c r="C97" s="31">
        <v>2.75E-2</v>
      </c>
      <c r="D97" s="31">
        <v>3.4200000000000001E-2</v>
      </c>
      <c r="E97" s="31">
        <v>4.0899999999999999E-2</v>
      </c>
      <c r="F97" s="31">
        <v>5.4300000000000001E-2</v>
      </c>
      <c r="G97" s="31">
        <v>8.7800000000000003E-2</v>
      </c>
      <c r="H97" s="31">
        <v>0.12139999999999999</v>
      </c>
      <c r="I97" s="31">
        <v>0.15490000000000001</v>
      </c>
    </row>
    <row r="98" spans="1:45">
      <c r="B98" s="4">
        <v>10</v>
      </c>
      <c r="C98" s="31">
        <v>3.4099999999999998E-2</v>
      </c>
      <c r="D98" s="31">
        <v>4.1500000000000002E-2</v>
      </c>
      <c r="E98" s="31">
        <v>4.8899999999999999E-2</v>
      </c>
      <c r="F98" s="31">
        <v>6.3700000000000007E-2</v>
      </c>
      <c r="G98" s="31">
        <v>0.10059999999999999</v>
      </c>
      <c r="H98" s="31">
        <v>0.1376</v>
      </c>
      <c r="I98" s="31">
        <v>0.17460000000000001</v>
      </c>
    </row>
    <row r="99" spans="1:45">
      <c r="B99" s="4">
        <v>11</v>
      </c>
      <c r="C99" s="31">
        <v>4.36E-2</v>
      </c>
      <c r="D99" s="31">
        <v>5.1700000000000003E-2</v>
      </c>
      <c r="E99" s="31">
        <v>5.9900000000000002E-2</v>
      </c>
      <c r="F99" s="31">
        <v>7.6200000000000004E-2</v>
      </c>
      <c r="G99" s="31">
        <v>0.11700000000000001</v>
      </c>
      <c r="H99" s="31">
        <v>0.1578</v>
      </c>
      <c r="I99" s="31">
        <v>0.1986</v>
      </c>
    </row>
    <row r="100" spans="1:45">
      <c r="B100" s="4">
        <v>12</v>
      </c>
      <c r="C100" s="31">
        <v>5.8099999999999999E-2</v>
      </c>
      <c r="D100" s="31">
        <v>6.6900000000000001E-2</v>
      </c>
      <c r="E100" s="31">
        <v>7.5800000000000006E-2</v>
      </c>
      <c r="F100" s="31">
        <v>9.3600000000000003E-2</v>
      </c>
      <c r="G100" s="31">
        <v>0.13800000000000001</v>
      </c>
      <c r="H100" s="31">
        <v>0.18240000000000001</v>
      </c>
      <c r="I100" s="31">
        <v>0.2268</v>
      </c>
    </row>
    <row r="101" spans="1:45">
      <c r="B101" s="4">
        <v>13</v>
      </c>
      <c r="C101" s="31">
        <v>7.5800000000000006E-2</v>
      </c>
      <c r="D101" s="31">
        <v>8.5000000000000006E-2</v>
      </c>
      <c r="E101" s="31">
        <v>9.4200000000000006E-2</v>
      </c>
      <c r="F101" s="31">
        <v>0.11260000000000001</v>
      </c>
      <c r="G101" s="31">
        <v>0.15870000000000001</v>
      </c>
      <c r="H101" s="31">
        <v>0.20469999999999999</v>
      </c>
      <c r="I101" s="31">
        <v>0.25080000000000002</v>
      </c>
    </row>
    <row r="102" spans="1:45">
      <c r="B102" s="4">
        <v>14</v>
      </c>
      <c r="C102" s="31">
        <v>0.1062</v>
      </c>
      <c r="D102" s="31">
        <v>0.11550000000000001</v>
      </c>
      <c r="E102" s="31">
        <v>0.1249</v>
      </c>
      <c r="F102" s="31">
        <v>0.14349999999999999</v>
      </c>
      <c r="G102" s="31">
        <v>0.19020000000000001</v>
      </c>
      <c r="H102" s="31">
        <v>0.2369</v>
      </c>
      <c r="I102" s="31">
        <v>0.28360000000000002</v>
      </c>
    </row>
    <row r="103" spans="1:45">
      <c r="B103" s="4">
        <v>15</v>
      </c>
      <c r="C103" s="31">
        <v>0.13469999999999999</v>
      </c>
      <c r="D103" s="31">
        <v>0.14419999999999999</v>
      </c>
      <c r="E103" s="31">
        <v>0.15359999999999999</v>
      </c>
      <c r="F103" s="31">
        <v>0.1726</v>
      </c>
      <c r="G103" s="31">
        <v>0.21990000000000001</v>
      </c>
      <c r="H103" s="31">
        <v>0.26729999999999998</v>
      </c>
      <c r="I103" s="31">
        <v>0.31459999999999999</v>
      </c>
    </row>
    <row r="104" spans="1:45">
      <c r="B104" s="4">
        <v>16</v>
      </c>
      <c r="C104" s="31">
        <v>0.19289999999999999</v>
      </c>
      <c r="D104" s="31">
        <v>0.20169999999999999</v>
      </c>
      <c r="E104" s="31">
        <v>0.21049999999999999</v>
      </c>
      <c r="F104" s="31">
        <v>0.22819999999999999</v>
      </c>
      <c r="G104" s="31">
        <v>0.2722</v>
      </c>
      <c r="H104" s="31">
        <v>0.31619999999999998</v>
      </c>
      <c r="I104" s="31">
        <v>0.36020000000000002</v>
      </c>
    </row>
    <row r="105" spans="1:45">
      <c r="B105" s="4">
        <v>17</v>
      </c>
      <c r="C105" s="31">
        <v>0.2051</v>
      </c>
      <c r="D105" s="31">
        <v>0.21329999999999999</v>
      </c>
      <c r="E105" s="31">
        <v>0.2215</v>
      </c>
      <c r="F105" s="31">
        <v>0.23799999999999999</v>
      </c>
      <c r="G105" s="31">
        <v>0.27910000000000001</v>
      </c>
      <c r="H105" s="31">
        <v>0.32019999999999998</v>
      </c>
      <c r="I105" s="31">
        <v>0.36130000000000001</v>
      </c>
    </row>
    <row r="106" spans="1:45">
      <c r="B106" s="7">
        <v>18</v>
      </c>
      <c r="C106" s="32">
        <v>0.21149999999999999</v>
      </c>
      <c r="D106" s="32">
        <v>0.21909999999999999</v>
      </c>
      <c r="E106" s="32">
        <v>0.22670000000000001</v>
      </c>
      <c r="F106" s="32">
        <v>0.2419</v>
      </c>
      <c r="G106" s="32">
        <v>0.27979999999999999</v>
      </c>
      <c r="H106" s="32">
        <v>0.32019999999999998</v>
      </c>
      <c r="I106" s="32">
        <v>0.36130000000000001</v>
      </c>
    </row>
    <row r="109" spans="1:45">
      <c r="A109" s="27" t="s">
        <v>139</v>
      </c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27"/>
      <c r="AD109" s="27"/>
      <c r="AE109" s="27"/>
      <c r="AF109" s="27"/>
      <c r="AG109" s="27"/>
      <c r="AH109" s="27"/>
      <c r="AI109" s="27"/>
      <c r="AJ109" s="27"/>
      <c r="AK109" s="27"/>
      <c r="AL109" s="27"/>
      <c r="AM109" s="27"/>
      <c r="AN109" s="27"/>
      <c r="AO109" s="27"/>
      <c r="AP109" s="27"/>
      <c r="AQ109" s="27"/>
      <c r="AR109" s="27"/>
      <c r="AS109" s="27"/>
    </row>
    <row r="111" spans="1:45">
      <c r="B111" s="1" t="s">
        <v>98</v>
      </c>
      <c r="C111" s="1" t="s">
        <v>100</v>
      </c>
      <c r="D111" s="1" t="s">
        <v>99</v>
      </c>
      <c r="F111" s="1" t="s">
        <v>98</v>
      </c>
      <c r="G111" s="1" t="s">
        <v>100</v>
      </c>
      <c r="H111" s="1" t="s">
        <v>99</v>
      </c>
    </row>
    <row r="112" spans="1:45">
      <c r="B112" s="19">
        <v>0.25</v>
      </c>
      <c r="C112" s="33">
        <v>0.78549999999999998</v>
      </c>
      <c r="D112" s="33">
        <v>-0.48060000000000003</v>
      </c>
      <c r="F112" s="19">
        <v>0.25</v>
      </c>
      <c r="G112" s="33">
        <v>0.75890000000000002</v>
      </c>
      <c r="H112" s="33">
        <v>-0.75890000000000002</v>
      </c>
    </row>
    <row r="113" spans="2:8">
      <c r="B113" s="20">
        <v>0.5</v>
      </c>
      <c r="C113" s="34">
        <v>0.78549999999999998</v>
      </c>
      <c r="D113" s="34">
        <v>-0.48060000000000003</v>
      </c>
      <c r="F113" s="20">
        <v>0.5</v>
      </c>
      <c r="G113" s="34">
        <v>0.75890000000000002</v>
      </c>
      <c r="H113" s="34">
        <v>-0.75890000000000002</v>
      </c>
    </row>
    <row r="114" spans="2:8">
      <c r="B114" s="20">
        <v>1</v>
      </c>
      <c r="C114" s="34">
        <v>0.93079999999999996</v>
      </c>
      <c r="D114" s="34">
        <v>-0.52869999999999995</v>
      </c>
      <c r="F114" s="20">
        <v>1</v>
      </c>
      <c r="G114" s="34">
        <v>0.75890000000000002</v>
      </c>
      <c r="H114" s="34">
        <v>-0.75890000000000002</v>
      </c>
    </row>
    <row r="115" spans="2:8">
      <c r="B115" s="20">
        <v>2</v>
      </c>
      <c r="C115" s="34">
        <v>0.82379999999999998</v>
      </c>
      <c r="D115" s="34">
        <v>-0.50729999999999997</v>
      </c>
      <c r="F115" s="20">
        <v>2</v>
      </c>
      <c r="G115" s="34">
        <v>0.75890000000000002</v>
      </c>
      <c r="H115" s="34">
        <v>-0.75890000000000002</v>
      </c>
    </row>
    <row r="116" spans="2:8">
      <c r="B116" s="20">
        <v>3</v>
      </c>
      <c r="C116" s="34">
        <v>0.64680000000000004</v>
      </c>
      <c r="D116" s="34">
        <v>-0.44650000000000001</v>
      </c>
      <c r="F116" s="20">
        <v>3</v>
      </c>
      <c r="G116" s="34">
        <v>0.67359999999999998</v>
      </c>
      <c r="H116" s="34">
        <v>-0.67359999999999998</v>
      </c>
    </row>
    <row r="117" spans="2:8">
      <c r="B117" s="20">
        <v>4</v>
      </c>
      <c r="C117" s="34">
        <v>0.51239999999999997</v>
      </c>
      <c r="D117" s="34">
        <v>-0.3886</v>
      </c>
      <c r="F117" s="20">
        <v>4</v>
      </c>
      <c r="G117" s="34">
        <v>0.6552</v>
      </c>
      <c r="H117" s="34">
        <v>-0.6552</v>
      </c>
    </row>
    <row r="118" spans="2:8">
      <c r="B118" s="20">
        <v>5</v>
      </c>
      <c r="C118" s="34">
        <v>0.42120000000000002</v>
      </c>
      <c r="D118" s="34">
        <v>-0.34370000000000001</v>
      </c>
      <c r="F118" s="20">
        <v>5</v>
      </c>
      <c r="G118" s="34">
        <v>0.63949999999999996</v>
      </c>
      <c r="H118" s="34">
        <v>-0.63949999999999996</v>
      </c>
    </row>
    <row r="119" spans="2:8">
      <c r="B119" s="20">
        <v>6</v>
      </c>
      <c r="C119" s="34">
        <v>0.3649</v>
      </c>
      <c r="D119" s="34">
        <v>-0.31369999999999998</v>
      </c>
      <c r="F119" s="20">
        <v>6</v>
      </c>
      <c r="G119" s="34">
        <v>0.61170000000000002</v>
      </c>
      <c r="H119" s="34">
        <v>-0.61170000000000002</v>
      </c>
    </row>
    <row r="120" spans="2:8">
      <c r="B120" s="20">
        <v>7</v>
      </c>
      <c r="C120" s="34">
        <v>0.33189999999999997</v>
      </c>
      <c r="D120" s="34">
        <v>-0.29549999999999998</v>
      </c>
      <c r="F120" s="20">
        <v>7</v>
      </c>
      <c r="G120" s="34">
        <v>0.58220000000000005</v>
      </c>
      <c r="H120" s="34">
        <v>-0.58220000000000005</v>
      </c>
    </row>
    <row r="121" spans="2:8">
      <c r="B121" s="20">
        <v>8</v>
      </c>
      <c r="C121" s="34">
        <v>0.31190000000000001</v>
      </c>
      <c r="D121" s="34">
        <v>-0.28449999999999998</v>
      </c>
      <c r="F121" s="20">
        <v>8</v>
      </c>
      <c r="G121" s="34">
        <v>0.56740000000000002</v>
      </c>
      <c r="H121" s="34">
        <v>-0.56740000000000002</v>
      </c>
    </row>
    <row r="122" spans="2:8">
      <c r="B122" s="20">
        <v>9</v>
      </c>
      <c r="C122" s="34">
        <v>0.29880000000000001</v>
      </c>
      <c r="D122" s="34">
        <v>-0.27739999999999998</v>
      </c>
      <c r="F122" s="20">
        <v>9</v>
      </c>
      <c r="G122" s="34">
        <v>0.54069999999999996</v>
      </c>
      <c r="H122" s="34">
        <v>-0.54069999999999996</v>
      </c>
    </row>
    <row r="123" spans="2:8">
      <c r="B123" s="20">
        <v>10</v>
      </c>
      <c r="C123" s="34">
        <v>0.2908</v>
      </c>
      <c r="D123" s="34">
        <v>-0.27300000000000002</v>
      </c>
      <c r="F123" s="20">
        <v>10</v>
      </c>
      <c r="G123" s="34">
        <v>0.54810000000000003</v>
      </c>
      <c r="H123" s="34">
        <v>-0.54810000000000003</v>
      </c>
    </row>
    <row r="124" spans="2:8">
      <c r="B124" s="20">
        <v>11</v>
      </c>
      <c r="C124" s="34">
        <v>0.28799999999999998</v>
      </c>
      <c r="D124" s="34">
        <v>-0.27139999999999997</v>
      </c>
      <c r="F124" s="20">
        <v>11</v>
      </c>
      <c r="G124" s="34">
        <v>0.54500000000000004</v>
      </c>
      <c r="H124" s="34">
        <v>-0.54500000000000004</v>
      </c>
    </row>
    <row r="125" spans="2:8">
      <c r="B125" s="20">
        <v>12</v>
      </c>
      <c r="C125" s="34">
        <v>0.28989999999999999</v>
      </c>
      <c r="D125" s="34">
        <v>-0.27260000000000001</v>
      </c>
      <c r="F125" s="20">
        <v>12</v>
      </c>
      <c r="G125" s="34">
        <v>0.53559999999999997</v>
      </c>
      <c r="H125" s="34">
        <v>-0.53559999999999997</v>
      </c>
    </row>
    <row r="126" spans="2:8">
      <c r="B126" s="20">
        <v>13</v>
      </c>
      <c r="C126" s="34">
        <v>0.29549999999999998</v>
      </c>
      <c r="D126" s="34">
        <v>-0.2762</v>
      </c>
      <c r="F126" s="20">
        <v>13</v>
      </c>
      <c r="G126" s="34">
        <v>0.53890000000000005</v>
      </c>
      <c r="H126" s="34">
        <v>-0.53890000000000005</v>
      </c>
    </row>
    <row r="127" spans="2:8">
      <c r="B127" s="20">
        <v>14</v>
      </c>
      <c r="C127" s="34">
        <v>0.30359999999999998</v>
      </c>
      <c r="D127" s="34">
        <v>-0.28120000000000001</v>
      </c>
      <c r="F127" s="20">
        <v>14</v>
      </c>
      <c r="G127" s="34">
        <v>0.54890000000000005</v>
      </c>
      <c r="H127" s="34">
        <v>-0.54890000000000005</v>
      </c>
    </row>
    <row r="128" spans="2:8">
      <c r="B128" s="20">
        <v>15</v>
      </c>
      <c r="C128" s="34">
        <v>0.3135</v>
      </c>
      <c r="D128" s="34">
        <v>-0.28739999999999999</v>
      </c>
      <c r="F128" s="20">
        <v>15</v>
      </c>
      <c r="G128" s="34">
        <v>0.55330000000000001</v>
      </c>
      <c r="H128" s="34">
        <v>-0.55330000000000001</v>
      </c>
    </row>
    <row r="129" spans="2:8">
      <c r="B129" s="20">
        <v>16</v>
      </c>
      <c r="C129" s="34">
        <v>0.3251</v>
      </c>
      <c r="D129" s="34">
        <v>-0.29459999999999997</v>
      </c>
      <c r="F129" s="20">
        <v>16</v>
      </c>
      <c r="G129" s="34">
        <v>0.54400000000000004</v>
      </c>
      <c r="H129" s="34">
        <v>-0.54400000000000004</v>
      </c>
    </row>
    <row r="130" spans="2:8">
      <c r="B130" s="20">
        <v>17</v>
      </c>
      <c r="C130" s="34">
        <v>0.33800000000000002</v>
      </c>
      <c r="D130" s="34">
        <v>-0.3024</v>
      </c>
      <c r="F130" s="20">
        <v>17</v>
      </c>
      <c r="G130" s="34">
        <v>0.5302</v>
      </c>
      <c r="H130" s="34">
        <v>-0.5302</v>
      </c>
    </row>
    <row r="131" spans="2:8">
      <c r="B131" s="20">
        <v>18</v>
      </c>
      <c r="C131" s="34">
        <v>0.35199999999999998</v>
      </c>
      <c r="D131" s="34">
        <v>-0.31090000000000001</v>
      </c>
      <c r="F131" s="20">
        <v>18</v>
      </c>
      <c r="G131" s="34">
        <v>0.52270000000000005</v>
      </c>
      <c r="H131" s="34">
        <v>-0.52270000000000005</v>
      </c>
    </row>
    <row r="132" spans="2:8">
      <c r="B132" s="20">
        <v>19</v>
      </c>
      <c r="C132" s="34">
        <v>0.36659999999999998</v>
      </c>
      <c r="D132" s="34">
        <v>-0.31950000000000001</v>
      </c>
      <c r="F132" s="20">
        <v>19</v>
      </c>
      <c r="G132" s="34">
        <v>0.52229999999999999</v>
      </c>
      <c r="H132" s="34">
        <v>-0.52229999999999999</v>
      </c>
    </row>
    <row r="133" spans="2:8">
      <c r="B133" s="20">
        <v>20</v>
      </c>
      <c r="C133" s="34">
        <v>0.38159999999999999</v>
      </c>
      <c r="D133" s="34">
        <v>-0.32819999999999999</v>
      </c>
      <c r="F133" s="20">
        <v>20</v>
      </c>
      <c r="G133" s="34">
        <v>0.5272</v>
      </c>
      <c r="H133" s="34">
        <v>-0.5272</v>
      </c>
    </row>
    <row r="134" spans="2:8">
      <c r="B134" s="20">
        <v>21</v>
      </c>
      <c r="C134" s="34">
        <v>0.3967</v>
      </c>
      <c r="D134" s="34">
        <v>-0.33679999999999999</v>
      </c>
      <c r="F134" s="20">
        <v>21</v>
      </c>
      <c r="G134" s="34">
        <v>0.53600000000000003</v>
      </c>
      <c r="H134" s="34">
        <v>-0.53600000000000003</v>
      </c>
    </row>
    <row r="135" spans="2:8">
      <c r="B135" s="20">
        <v>22</v>
      </c>
      <c r="C135" s="34">
        <v>0.41149999999999998</v>
      </c>
      <c r="D135" s="34">
        <v>-0.34520000000000001</v>
      </c>
      <c r="F135" s="20">
        <v>22</v>
      </c>
      <c r="G135" s="34">
        <v>0.54810000000000003</v>
      </c>
      <c r="H135" s="34">
        <v>-0.54810000000000003</v>
      </c>
    </row>
    <row r="136" spans="2:8">
      <c r="B136" s="20">
        <v>23</v>
      </c>
      <c r="C136" s="34">
        <v>0.42570000000000002</v>
      </c>
      <c r="D136" s="34">
        <v>-0.35320000000000001</v>
      </c>
      <c r="F136" s="20">
        <v>23</v>
      </c>
      <c r="G136" s="34">
        <v>0.56320000000000003</v>
      </c>
      <c r="H136" s="34">
        <v>-0.56320000000000003</v>
      </c>
    </row>
    <row r="137" spans="2:8">
      <c r="B137" s="20">
        <v>24</v>
      </c>
      <c r="C137" s="34">
        <v>0.43909999999999999</v>
      </c>
      <c r="D137" s="34">
        <v>-0.36070000000000002</v>
      </c>
      <c r="F137" s="20">
        <v>24</v>
      </c>
      <c r="G137" s="34">
        <v>0.58099999999999996</v>
      </c>
      <c r="H137" s="34">
        <v>-0.58099999999999996</v>
      </c>
    </row>
    <row r="138" spans="2:8">
      <c r="B138" s="20">
        <v>25</v>
      </c>
      <c r="C138" s="34">
        <v>0.45179999999999998</v>
      </c>
      <c r="D138" s="34">
        <v>-0.36780000000000002</v>
      </c>
      <c r="F138" s="20">
        <v>25</v>
      </c>
      <c r="G138" s="34">
        <v>0.60109999999999997</v>
      </c>
      <c r="H138" s="34">
        <v>-0.60109999999999997</v>
      </c>
    </row>
    <row r="139" spans="2:8">
      <c r="B139" s="20">
        <v>26</v>
      </c>
      <c r="C139" s="34">
        <v>0.46589999999999998</v>
      </c>
      <c r="D139" s="34">
        <v>-0.37569999999999998</v>
      </c>
      <c r="F139" s="20">
        <v>26</v>
      </c>
      <c r="G139" s="34">
        <v>0.62290000000000001</v>
      </c>
      <c r="H139" s="34">
        <v>-0.62290000000000001</v>
      </c>
    </row>
    <row r="140" spans="2:8">
      <c r="B140" s="20">
        <v>27</v>
      </c>
      <c r="C140" s="34">
        <v>0.4803</v>
      </c>
      <c r="D140" s="34">
        <v>-0.38379999999999997</v>
      </c>
      <c r="F140" s="20">
        <v>27</v>
      </c>
      <c r="G140" s="34">
        <v>0.64419999999999999</v>
      </c>
      <c r="H140" s="34">
        <v>-0.64419999999999999</v>
      </c>
    </row>
    <row r="141" spans="2:8">
      <c r="B141" s="20">
        <v>28</v>
      </c>
      <c r="C141" s="34">
        <v>0.49309999999999998</v>
      </c>
      <c r="D141" s="34">
        <v>-0.39090000000000003</v>
      </c>
      <c r="F141" s="20">
        <v>28</v>
      </c>
      <c r="G141" s="34">
        <v>0.66249999999999998</v>
      </c>
      <c r="H141" s="34">
        <v>-0.66249999999999998</v>
      </c>
    </row>
    <row r="142" spans="2:8">
      <c r="B142" s="20">
        <v>29</v>
      </c>
      <c r="C142" s="34">
        <v>0.50219999999999998</v>
      </c>
      <c r="D142" s="34">
        <v>-0.39600000000000002</v>
      </c>
      <c r="F142" s="20">
        <v>29</v>
      </c>
      <c r="G142" s="34">
        <v>0.6754</v>
      </c>
      <c r="H142" s="34">
        <v>-0.6754</v>
      </c>
    </row>
    <row r="143" spans="2:8">
      <c r="B143" s="21">
        <v>30</v>
      </c>
      <c r="C143" s="35">
        <v>0.50570000000000004</v>
      </c>
      <c r="D143" s="35">
        <v>-0.39789999999999998</v>
      </c>
      <c r="F143" s="21">
        <v>30</v>
      </c>
      <c r="G143" s="35">
        <v>0.68020000000000003</v>
      </c>
      <c r="H143" s="35">
        <v>-0.68020000000000003</v>
      </c>
    </row>
    <row r="146" spans="1:112">
      <c r="A146" s="27" t="s">
        <v>142</v>
      </c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</row>
    <row r="148" spans="1:112">
      <c r="B148" s="14" t="s">
        <v>148</v>
      </c>
    </row>
    <row r="150" spans="1:112">
      <c r="C150" s="1" t="s">
        <v>143</v>
      </c>
      <c r="D150" s="1" t="s">
        <v>144</v>
      </c>
      <c r="E150" s="1" t="s">
        <v>145</v>
      </c>
      <c r="F150" s="1" t="s">
        <v>146</v>
      </c>
      <c r="G150" s="1" t="s">
        <v>147</v>
      </c>
      <c r="I150" s="1" t="s">
        <v>149</v>
      </c>
      <c r="J150" s="1" t="s">
        <v>150</v>
      </c>
    </row>
    <row r="151" spans="1:112">
      <c r="B151" s="36" t="s">
        <v>143</v>
      </c>
      <c r="C151" s="3">
        <v>1</v>
      </c>
      <c r="D151" s="3"/>
      <c r="E151" s="3"/>
      <c r="F151" s="3"/>
      <c r="G151" s="3"/>
      <c r="I151" s="3" t="s">
        <v>143</v>
      </c>
      <c r="J151" s="3">
        <v>1.3721000000000001</v>
      </c>
    </row>
    <row r="152" spans="1:112">
      <c r="B152" s="36" t="s">
        <v>144</v>
      </c>
      <c r="C152" s="4">
        <v>0.97</v>
      </c>
      <c r="D152" s="4">
        <v>1</v>
      </c>
      <c r="E152" s="4"/>
      <c r="F152" s="4"/>
      <c r="G152" s="4"/>
      <c r="I152" s="4" t="s">
        <v>144</v>
      </c>
      <c r="J152" s="4">
        <v>0.90390000000000004</v>
      </c>
    </row>
    <row r="153" spans="1:112">
      <c r="B153" s="36" t="s">
        <v>145</v>
      </c>
      <c r="C153" s="4">
        <v>1</v>
      </c>
      <c r="D153" s="4">
        <v>0.86</v>
      </c>
      <c r="E153" s="4">
        <v>1</v>
      </c>
      <c r="F153" s="4"/>
      <c r="G153" s="4"/>
      <c r="I153" s="4" t="s">
        <v>145</v>
      </c>
      <c r="J153" s="4">
        <v>0.43390000000000001</v>
      </c>
    </row>
    <row r="154" spans="1:112">
      <c r="B154" s="36" t="s">
        <v>146</v>
      </c>
      <c r="C154" s="4">
        <v>0.75</v>
      </c>
      <c r="D154" s="4">
        <v>0.67</v>
      </c>
      <c r="E154" s="4">
        <v>0.84</v>
      </c>
      <c r="F154" s="4">
        <v>1</v>
      </c>
      <c r="G154" s="4"/>
      <c r="I154" s="4" t="s">
        <v>146</v>
      </c>
      <c r="J154" s="4">
        <v>0.93789999999999996</v>
      </c>
    </row>
    <row r="155" spans="1:112">
      <c r="B155" s="36" t="s">
        <v>147</v>
      </c>
      <c r="C155" s="7">
        <v>1</v>
      </c>
      <c r="D155" s="7">
        <v>0.97</v>
      </c>
      <c r="E155" s="7">
        <v>1</v>
      </c>
      <c r="F155" s="7">
        <v>0.75</v>
      </c>
      <c r="G155" s="7">
        <v>1</v>
      </c>
      <c r="I155" s="7" t="s">
        <v>147</v>
      </c>
      <c r="J155" s="7">
        <v>0.79849999999999999</v>
      </c>
    </row>
    <row r="158" spans="1:112">
      <c r="B158" s="14" t="s">
        <v>151</v>
      </c>
      <c r="W158" s="14" t="s">
        <v>171</v>
      </c>
      <c r="AR158" s="14" t="s">
        <v>145</v>
      </c>
      <c r="BM158" s="14" t="s">
        <v>172</v>
      </c>
      <c r="CH158" s="14" t="s">
        <v>147</v>
      </c>
      <c r="DC158" s="14" t="s">
        <v>173</v>
      </c>
    </row>
    <row r="159" spans="1:112">
      <c r="B159" s="14"/>
    </row>
    <row r="160" spans="1:112">
      <c r="C160" s="1" t="s">
        <v>152</v>
      </c>
      <c r="D160" s="1" t="s">
        <v>153</v>
      </c>
      <c r="E160" s="1" t="s">
        <v>154</v>
      </c>
      <c r="F160" s="1" t="s">
        <v>155</v>
      </c>
      <c r="G160" s="1" t="s">
        <v>156</v>
      </c>
      <c r="H160" s="1" t="s">
        <v>157</v>
      </c>
      <c r="I160" s="1" t="s">
        <v>158</v>
      </c>
      <c r="J160" s="1" t="s">
        <v>159</v>
      </c>
      <c r="K160" s="1" t="s">
        <v>160</v>
      </c>
      <c r="L160" s="1" t="s">
        <v>161</v>
      </c>
      <c r="M160" s="1" t="s">
        <v>162</v>
      </c>
      <c r="N160" s="1" t="s">
        <v>163</v>
      </c>
      <c r="O160" s="1" t="s">
        <v>164</v>
      </c>
      <c r="P160" s="1" t="s">
        <v>165</v>
      </c>
      <c r="Q160" s="1" t="s">
        <v>166</v>
      </c>
      <c r="R160" s="1" t="s">
        <v>167</v>
      </c>
      <c r="S160" s="1" t="s">
        <v>168</v>
      </c>
      <c r="T160" s="1" t="s">
        <v>169</v>
      </c>
      <c r="U160" s="1" t="s">
        <v>170</v>
      </c>
      <c r="X160" s="1" t="s">
        <v>152</v>
      </c>
      <c r="Y160" s="1" t="s">
        <v>153</v>
      </c>
      <c r="Z160" s="1" t="s">
        <v>154</v>
      </c>
      <c r="AA160" s="1" t="s">
        <v>155</v>
      </c>
      <c r="AB160" s="1" t="s">
        <v>156</v>
      </c>
      <c r="AC160" s="1" t="s">
        <v>157</v>
      </c>
      <c r="AD160" s="1" t="s">
        <v>158</v>
      </c>
      <c r="AE160" s="1" t="s">
        <v>159</v>
      </c>
      <c r="AF160" s="1" t="s">
        <v>160</v>
      </c>
      <c r="AG160" s="1" t="s">
        <v>161</v>
      </c>
      <c r="AH160" s="1" t="s">
        <v>162</v>
      </c>
      <c r="AI160" s="1" t="s">
        <v>163</v>
      </c>
      <c r="AJ160" s="1" t="s">
        <v>164</v>
      </c>
      <c r="AK160" s="1" t="s">
        <v>165</v>
      </c>
      <c r="AL160" s="1" t="s">
        <v>166</v>
      </c>
      <c r="AM160" s="1" t="s">
        <v>167</v>
      </c>
      <c r="AN160" s="1" t="s">
        <v>168</v>
      </c>
      <c r="AO160" s="1" t="s">
        <v>169</v>
      </c>
      <c r="AP160" s="1" t="s">
        <v>170</v>
      </c>
      <c r="AS160" s="1" t="s">
        <v>152</v>
      </c>
      <c r="AT160" s="1" t="s">
        <v>153</v>
      </c>
      <c r="AU160" s="1" t="s">
        <v>154</v>
      </c>
      <c r="AV160" s="1" t="s">
        <v>155</v>
      </c>
      <c r="AW160" s="1" t="s">
        <v>156</v>
      </c>
      <c r="AX160" s="1" t="s">
        <v>157</v>
      </c>
      <c r="AY160" s="1" t="s">
        <v>158</v>
      </c>
      <c r="AZ160" s="1" t="s">
        <v>159</v>
      </c>
      <c r="BA160" s="1" t="s">
        <v>160</v>
      </c>
      <c r="BB160" s="1" t="s">
        <v>161</v>
      </c>
      <c r="BC160" s="1" t="s">
        <v>162</v>
      </c>
      <c r="BD160" s="1" t="s">
        <v>163</v>
      </c>
      <c r="BE160" s="1" t="s">
        <v>164</v>
      </c>
      <c r="BF160" s="1" t="s">
        <v>165</v>
      </c>
      <c r="BG160" s="1" t="s">
        <v>166</v>
      </c>
      <c r="BH160" s="1" t="s">
        <v>167</v>
      </c>
      <c r="BI160" s="1" t="s">
        <v>168</v>
      </c>
      <c r="BJ160" s="1" t="s">
        <v>169</v>
      </c>
      <c r="BK160" s="1" t="s">
        <v>170</v>
      </c>
      <c r="BN160" s="1" t="s">
        <v>152</v>
      </c>
      <c r="BO160" s="1" t="s">
        <v>153</v>
      </c>
      <c r="BP160" s="1" t="s">
        <v>154</v>
      </c>
      <c r="BQ160" s="1" t="s">
        <v>155</v>
      </c>
      <c r="BR160" s="1" t="s">
        <v>156</v>
      </c>
      <c r="BS160" s="1" t="s">
        <v>157</v>
      </c>
      <c r="BT160" s="1" t="s">
        <v>158</v>
      </c>
      <c r="BU160" s="1" t="s">
        <v>159</v>
      </c>
      <c r="BV160" s="1" t="s">
        <v>160</v>
      </c>
      <c r="BW160" s="1" t="s">
        <v>161</v>
      </c>
      <c r="BX160" s="1" t="s">
        <v>162</v>
      </c>
      <c r="BY160" s="1" t="s">
        <v>163</v>
      </c>
      <c r="BZ160" s="1" t="s">
        <v>164</v>
      </c>
      <c r="CA160" s="1" t="s">
        <v>165</v>
      </c>
      <c r="CB160" s="1" t="s">
        <v>166</v>
      </c>
      <c r="CC160" s="1" t="s">
        <v>167</v>
      </c>
      <c r="CD160" s="1" t="s">
        <v>168</v>
      </c>
      <c r="CE160" s="1" t="s">
        <v>169</v>
      </c>
      <c r="CF160" s="1" t="s">
        <v>170</v>
      </c>
      <c r="CI160" s="1" t="s">
        <v>152</v>
      </c>
      <c r="CJ160" s="1" t="s">
        <v>153</v>
      </c>
      <c r="CK160" s="1" t="s">
        <v>154</v>
      </c>
      <c r="CL160" s="1" t="s">
        <v>155</v>
      </c>
      <c r="CM160" s="1" t="s">
        <v>156</v>
      </c>
      <c r="CN160" s="1" t="s">
        <v>157</v>
      </c>
      <c r="CO160" s="1" t="s">
        <v>158</v>
      </c>
      <c r="CP160" s="1" t="s">
        <v>159</v>
      </c>
      <c r="CQ160" s="1" t="s">
        <v>160</v>
      </c>
      <c r="CR160" s="1" t="s">
        <v>161</v>
      </c>
      <c r="CS160" s="1" t="s">
        <v>162</v>
      </c>
      <c r="CT160" s="1" t="s">
        <v>163</v>
      </c>
      <c r="CU160" s="1" t="s">
        <v>164</v>
      </c>
      <c r="CV160" s="1" t="s">
        <v>165</v>
      </c>
      <c r="CW160" s="1" t="s">
        <v>166</v>
      </c>
      <c r="CX160" s="1" t="s">
        <v>167</v>
      </c>
      <c r="CY160" s="1" t="s">
        <v>168</v>
      </c>
      <c r="CZ160" s="1" t="s">
        <v>169</v>
      </c>
      <c r="DA160" s="1" t="s">
        <v>170</v>
      </c>
      <c r="DC160" s="1" t="s">
        <v>174</v>
      </c>
      <c r="DD160" s="1" t="s">
        <v>143</v>
      </c>
      <c r="DE160" s="1" t="s">
        <v>144</v>
      </c>
      <c r="DF160" s="1" t="s">
        <v>145</v>
      </c>
      <c r="DG160" s="1" t="s">
        <v>146</v>
      </c>
      <c r="DH160" s="1" t="s">
        <v>147</v>
      </c>
    </row>
    <row r="161" spans="2:112">
      <c r="B161" s="2" t="s">
        <v>152</v>
      </c>
      <c r="C161" s="19">
        <v>1</v>
      </c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W161" s="2" t="s">
        <v>152</v>
      </c>
      <c r="X161" s="19">
        <v>1</v>
      </c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R161" s="2" t="s">
        <v>152</v>
      </c>
      <c r="AS161" s="19">
        <v>1</v>
      </c>
      <c r="AT161" s="19"/>
      <c r="AU161" s="19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19"/>
      <c r="BH161" s="19"/>
      <c r="BI161" s="19"/>
      <c r="BJ161" s="19"/>
      <c r="BK161" s="19"/>
      <c r="BM161" s="2" t="s">
        <v>152</v>
      </c>
      <c r="BN161" s="19">
        <v>1</v>
      </c>
      <c r="BO161" s="19"/>
      <c r="BP161" s="19"/>
      <c r="BQ161" s="19"/>
      <c r="BR161" s="19"/>
      <c r="BS161" s="19"/>
      <c r="BT161" s="19"/>
      <c r="BU161" s="19"/>
      <c r="BV161" s="19"/>
      <c r="BW161" s="19"/>
      <c r="BX161" s="19"/>
      <c r="BY161" s="19"/>
      <c r="BZ161" s="19"/>
      <c r="CA161" s="19"/>
      <c r="CB161" s="19"/>
      <c r="CC161" s="19"/>
      <c r="CD161" s="19"/>
      <c r="CE161" s="19"/>
      <c r="CF161" s="19"/>
      <c r="CH161" s="2" t="s">
        <v>152</v>
      </c>
      <c r="CI161" s="19">
        <v>1</v>
      </c>
      <c r="CJ161" s="19"/>
      <c r="CK161" s="19"/>
      <c r="CL161" s="19"/>
      <c r="CM161" s="19"/>
      <c r="CN161" s="19"/>
      <c r="CO161" s="19"/>
      <c r="CP161" s="19"/>
      <c r="CQ161" s="19"/>
      <c r="CR161" s="19"/>
      <c r="CS161" s="19"/>
      <c r="CT161" s="19"/>
      <c r="CU161" s="19"/>
      <c r="CV161" s="19"/>
      <c r="CW161" s="19"/>
      <c r="CX161" s="19"/>
      <c r="CY161" s="19"/>
      <c r="CZ161" s="19"/>
      <c r="DA161" s="19"/>
      <c r="DC161" s="3" t="s">
        <v>152</v>
      </c>
      <c r="DD161" s="3">
        <v>2.2915999999999999</v>
      </c>
      <c r="DE161" s="3">
        <v>2.8778000000000001</v>
      </c>
      <c r="DF161" s="3">
        <v>2.5337999999999998</v>
      </c>
      <c r="DG161" s="3">
        <v>3.8734000000000002</v>
      </c>
      <c r="DH161" s="3">
        <v>2.4298999999999999</v>
      </c>
    </row>
    <row r="162" spans="2:112">
      <c r="B162" s="2" t="s">
        <v>153</v>
      </c>
      <c r="C162" s="20">
        <v>0</v>
      </c>
      <c r="D162" s="20">
        <v>1</v>
      </c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W162" s="2" t="s">
        <v>153</v>
      </c>
      <c r="X162" s="20">
        <v>0.09</v>
      </c>
      <c r="Y162" s="20">
        <v>1</v>
      </c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20"/>
      <c r="AM162" s="20"/>
      <c r="AN162" s="20"/>
      <c r="AO162" s="20"/>
      <c r="AP162" s="20"/>
      <c r="AR162" s="2" t="s">
        <v>153</v>
      </c>
      <c r="AS162" s="20">
        <v>0.18</v>
      </c>
      <c r="AT162" s="20">
        <v>1</v>
      </c>
      <c r="AU162" s="20"/>
      <c r="AV162" s="20"/>
      <c r="AW162" s="20"/>
      <c r="AX162" s="20"/>
      <c r="AY162" s="20"/>
      <c r="AZ162" s="20"/>
      <c r="BA162" s="20"/>
      <c r="BB162" s="20"/>
      <c r="BC162" s="20"/>
      <c r="BD162" s="20"/>
      <c r="BE162" s="20"/>
      <c r="BF162" s="20"/>
      <c r="BG162" s="20"/>
      <c r="BH162" s="20"/>
      <c r="BI162" s="20"/>
      <c r="BJ162" s="20"/>
      <c r="BK162" s="20"/>
      <c r="BM162" s="2" t="s">
        <v>153</v>
      </c>
      <c r="BN162" s="20">
        <v>0.02</v>
      </c>
      <c r="BO162" s="20">
        <v>1</v>
      </c>
      <c r="BP162" s="20"/>
      <c r="BQ162" s="20"/>
      <c r="BR162" s="20"/>
      <c r="BS162" s="20"/>
      <c r="BT162" s="20"/>
      <c r="BU162" s="20"/>
      <c r="BV162" s="20"/>
      <c r="BW162" s="20"/>
      <c r="BX162" s="20"/>
      <c r="BY162" s="20"/>
      <c r="BZ162" s="20"/>
      <c r="CA162" s="20"/>
      <c r="CB162" s="20"/>
      <c r="CC162" s="20"/>
      <c r="CD162" s="20"/>
      <c r="CE162" s="20"/>
      <c r="CF162" s="20"/>
      <c r="CH162" s="2" t="s">
        <v>153</v>
      </c>
      <c r="CI162" s="20">
        <v>0</v>
      </c>
      <c r="CJ162" s="20">
        <v>1</v>
      </c>
      <c r="CK162" s="20"/>
      <c r="CL162" s="20"/>
      <c r="CM162" s="20"/>
      <c r="CN162" s="20"/>
      <c r="CO162" s="20"/>
      <c r="CP162" s="20"/>
      <c r="CQ162" s="20"/>
      <c r="CR162" s="20"/>
      <c r="CS162" s="20"/>
      <c r="CT162" s="20"/>
      <c r="CU162" s="20"/>
      <c r="CV162" s="20"/>
      <c r="CW162" s="20"/>
      <c r="CX162" s="20"/>
      <c r="CY162" s="20"/>
      <c r="CZ162" s="20"/>
      <c r="DA162" s="20"/>
      <c r="DC162" s="4" t="s">
        <v>153</v>
      </c>
      <c r="DD162" s="4">
        <v>2.0000000000000001E-4</v>
      </c>
      <c r="DE162" s="4">
        <v>4.0000000000000002E-4</v>
      </c>
      <c r="DF162" s="4">
        <v>2.0000000000000001E-4</v>
      </c>
      <c r="DG162" s="4">
        <v>1.6000000000000001E-3</v>
      </c>
      <c r="DH162" s="4">
        <v>2.9999999999999997E-4</v>
      </c>
    </row>
    <row r="163" spans="2:112">
      <c r="B163" s="2" t="s">
        <v>154</v>
      </c>
      <c r="C163" s="20">
        <v>0.3</v>
      </c>
      <c r="D163" s="20">
        <v>0.3</v>
      </c>
      <c r="E163" s="20">
        <v>1</v>
      </c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W163" s="2" t="s">
        <v>154</v>
      </c>
      <c r="X163" s="20">
        <v>0.04</v>
      </c>
      <c r="Y163" s="20">
        <v>0.51</v>
      </c>
      <c r="Z163" s="20">
        <v>1</v>
      </c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  <c r="AR163" s="2" t="s">
        <v>154</v>
      </c>
      <c r="AS163" s="20">
        <v>0</v>
      </c>
      <c r="AT163" s="20">
        <v>0.35</v>
      </c>
      <c r="AU163" s="20">
        <v>1</v>
      </c>
      <c r="AV163" s="20"/>
      <c r="AW163" s="20"/>
      <c r="AX163" s="20"/>
      <c r="AY163" s="20"/>
      <c r="AZ163" s="20"/>
      <c r="BA163" s="20"/>
      <c r="BB163" s="20"/>
      <c r="BC163" s="20"/>
      <c r="BD163" s="20"/>
      <c r="BE163" s="20"/>
      <c r="BF163" s="20"/>
      <c r="BG163" s="20"/>
      <c r="BH163" s="20"/>
      <c r="BI163" s="20"/>
      <c r="BJ163" s="20"/>
      <c r="BK163" s="20"/>
      <c r="BM163" s="2" t="s">
        <v>154</v>
      </c>
      <c r="BN163" s="20">
        <v>0</v>
      </c>
      <c r="BO163" s="20">
        <v>0.47</v>
      </c>
      <c r="BP163" s="20">
        <v>1</v>
      </c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H163" s="2" t="s">
        <v>154</v>
      </c>
      <c r="CI163" s="20">
        <v>0.3</v>
      </c>
      <c r="CJ163" s="20">
        <v>0.3</v>
      </c>
      <c r="CK163" s="20">
        <v>1</v>
      </c>
      <c r="CL163" s="20"/>
      <c r="CM163" s="20"/>
      <c r="CN163" s="20"/>
      <c r="CO163" s="20"/>
      <c r="CP163" s="20"/>
      <c r="CQ163" s="20"/>
      <c r="CR163" s="20"/>
      <c r="CS163" s="20"/>
      <c r="CT163" s="20"/>
      <c r="CU163" s="20"/>
      <c r="CV163" s="20"/>
      <c r="CW163" s="20"/>
      <c r="CX163" s="20"/>
      <c r="CY163" s="20"/>
      <c r="CZ163" s="20"/>
      <c r="DA163" s="20"/>
      <c r="DC163" s="4" t="s">
        <v>154</v>
      </c>
      <c r="DD163" s="4">
        <v>2.63E-2</v>
      </c>
      <c r="DE163" s="4">
        <v>3.4000000000000002E-2</v>
      </c>
      <c r="DF163" s="4">
        <v>3.2199999999999999E-2</v>
      </c>
      <c r="DG163" s="4">
        <v>1.04E-2</v>
      </c>
      <c r="DH163" s="4">
        <v>2.7900000000000001E-2</v>
      </c>
    </row>
    <row r="164" spans="2:112">
      <c r="B164" s="2" t="s">
        <v>155</v>
      </c>
      <c r="C164" s="20">
        <v>0.46</v>
      </c>
      <c r="D164" s="20">
        <v>0.48</v>
      </c>
      <c r="E164" s="20">
        <v>0.42</v>
      </c>
      <c r="F164" s="20">
        <v>1</v>
      </c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W164" s="2" t="s">
        <v>155</v>
      </c>
      <c r="X164" s="20">
        <v>0.35</v>
      </c>
      <c r="Y164" s="20">
        <v>0.67</v>
      </c>
      <c r="Z164" s="20">
        <v>0.25</v>
      </c>
      <c r="AA164" s="20">
        <v>1</v>
      </c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20"/>
      <c r="AM164" s="20"/>
      <c r="AN164" s="20"/>
      <c r="AO164" s="20"/>
      <c r="AP164" s="20"/>
      <c r="AR164" s="2" t="s">
        <v>155</v>
      </c>
      <c r="AS164" s="20">
        <v>0.41</v>
      </c>
      <c r="AT164" s="20">
        <v>0.41</v>
      </c>
      <c r="AU164" s="20">
        <v>0.09</v>
      </c>
      <c r="AV164" s="20">
        <v>1</v>
      </c>
      <c r="AW164" s="20"/>
      <c r="AX164" s="20"/>
      <c r="AY164" s="20"/>
      <c r="AZ164" s="20"/>
      <c r="BA164" s="20"/>
      <c r="BB164" s="20"/>
      <c r="BC164" s="20"/>
      <c r="BD164" s="20"/>
      <c r="BE164" s="20"/>
      <c r="BF164" s="20"/>
      <c r="BG164" s="20"/>
      <c r="BH164" s="20"/>
      <c r="BI164" s="20"/>
      <c r="BJ164" s="20"/>
      <c r="BK164" s="20"/>
      <c r="BM164" s="2" t="s">
        <v>155</v>
      </c>
      <c r="BN164" s="20">
        <v>0.32</v>
      </c>
      <c r="BO164" s="20">
        <v>0.4</v>
      </c>
      <c r="BP164" s="20">
        <v>0.94</v>
      </c>
      <c r="BQ164" s="20">
        <v>1</v>
      </c>
      <c r="BR164" s="20"/>
      <c r="BS164" s="20"/>
      <c r="BT164" s="20"/>
      <c r="BU164" s="20"/>
      <c r="BV164" s="20"/>
      <c r="BW164" s="20"/>
      <c r="BX164" s="20"/>
      <c r="BY164" s="20"/>
      <c r="BZ164" s="20"/>
      <c r="CA164" s="20"/>
      <c r="CB164" s="20"/>
      <c r="CC164" s="20"/>
      <c r="CD164" s="20"/>
      <c r="CE164" s="20"/>
      <c r="CF164" s="20"/>
      <c r="CH164" s="2" t="s">
        <v>155</v>
      </c>
      <c r="CI164" s="20">
        <v>0.46</v>
      </c>
      <c r="CJ164" s="20">
        <v>0.48</v>
      </c>
      <c r="CK164" s="20">
        <v>0.42</v>
      </c>
      <c r="CL164" s="20">
        <v>1</v>
      </c>
      <c r="CM164" s="20"/>
      <c r="CN164" s="20"/>
      <c r="CO164" s="20"/>
      <c r="CP164" s="20"/>
      <c r="CQ164" s="20"/>
      <c r="CR164" s="20"/>
      <c r="CS164" s="20"/>
      <c r="CT164" s="20"/>
      <c r="CU164" s="20"/>
      <c r="CV164" s="20"/>
      <c r="CW164" s="20"/>
      <c r="CX164" s="20"/>
      <c r="CY164" s="20"/>
      <c r="CZ164" s="20"/>
      <c r="DA164" s="20"/>
      <c r="DC164" s="4" t="s">
        <v>155</v>
      </c>
      <c r="DD164" s="4">
        <v>0.29830000000000001</v>
      </c>
      <c r="DE164" s="4">
        <v>0.41689999999999999</v>
      </c>
      <c r="DF164" s="4">
        <v>0.32519999999999999</v>
      </c>
      <c r="DG164" s="4">
        <v>9.8100000000000007E-2</v>
      </c>
      <c r="DH164" s="4">
        <v>0.31630000000000003</v>
      </c>
    </row>
    <row r="165" spans="2:112">
      <c r="B165" s="2" t="s">
        <v>156</v>
      </c>
      <c r="C165" s="20">
        <v>0.72</v>
      </c>
      <c r="D165" s="20">
        <v>0</v>
      </c>
      <c r="E165" s="20">
        <v>0</v>
      </c>
      <c r="F165" s="20">
        <v>0.17</v>
      </c>
      <c r="G165" s="20">
        <v>1</v>
      </c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W165" s="2" t="s">
        <v>156</v>
      </c>
      <c r="X165" s="20">
        <v>0.48</v>
      </c>
      <c r="Y165" s="20">
        <v>0.43</v>
      </c>
      <c r="Z165" s="20">
        <v>0.19</v>
      </c>
      <c r="AA165" s="20">
        <v>0.09</v>
      </c>
      <c r="AB165" s="20">
        <v>1</v>
      </c>
      <c r="AC165" s="20"/>
      <c r="AD165" s="20"/>
      <c r="AE165" s="20"/>
      <c r="AF165" s="20"/>
      <c r="AG165" s="20"/>
      <c r="AH165" s="20"/>
      <c r="AI165" s="20"/>
      <c r="AJ165" s="20"/>
      <c r="AK165" s="20"/>
      <c r="AL165" s="20"/>
      <c r="AM165" s="20"/>
      <c r="AN165" s="20"/>
      <c r="AO165" s="20"/>
      <c r="AP165" s="20"/>
      <c r="AR165" s="2" t="s">
        <v>156</v>
      </c>
      <c r="AS165" s="20">
        <v>0.64</v>
      </c>
      <c r="AT165" s="20">
        <v>0.01</v>
      </c>
      <c r="AU165" s="20">
        <v>0</v>
      </c>
      <c r="AV165" s="20">
        <v>7.0000000000000007E-2</v>
      </c>
      <c r="AW165" s="20">
        <v>1</v>
      </c>
      <c r="AX165" s="20"/>
      <c r="AY165" s="20"/>
      <c r="AZ165" s="20"/>
      <c r="BA165" s="20"/>
      <c r="BB165" s="20"/>
      <c r="BC165" s="20"/>
      <c r="BD165" s="20"/>
      <c r="BE165" s="20"/>
      <c r="BF165" s="20"/>
      <c r="BG165" s="20"/>
      <c r="BH165" s="20"/>
      <c r="BI165" s="20"/>
      <c r="BJ165" s="20"/>
      <c r="BK165" s="20"/>
      <c r="BM165" s="2" t="s">
        <v>156</v>
      </c>
      <c r="BN165" s="20">
        <v>0.67</v>
      </c>
      <c r="BO165" s="20">
        <v>0</v>
      </c>
      <c r="BP165" s="20">
        <v>0</v>
      </c>
      <c r="BQ165" s="20">
        <v>0</v>
      </c>
      <c r="BR165" s="20">
        <v>1</v>
      </c>
      <c r="BS165" s="20"/>
      <c r="BT165" s="20"/>
      <c r="BU165" s="20"/>
      <c r="BV165" s="20"/>
      <c r="BW165" s="20"/>
      <c r="BX165" s="20"/>
      <c r="BY165" s="20"/>
      <c r="BZ165" s="20"/>
      <c r="CA165" s="20"/>
      <c r="CB165" s="20"/>
      <c r="CC165" s="20"/>
      <c r="CD165" s="20"/>
      <c r="CE165" s="20"/>
      <c r="CF165" s="20"/>
      <c r="CH165" s="2" t="s">
        <v>156</v>
      </c>
      <c r="CI165" s="20">
        <v>0.72</v>
      </c>
      <c r="CJ165" s="20">
        <v>0</v>
      </c>
      <c r="CK165" s="20">
        <v>0</v>
      </c>
      <c r="CL165" s="20">
        <v>0.17</v>
      </c>
      <c r="CM165" s="20">
        <v>1</v>
      </c>
      <c r="CN165" s="20"/>
      <c r="CO165" s="20"/>
      <c r="CP165" s="20"/>
      <c r="CQ165" s="20"/>
      <c r="CR165" s="20"/>
      <c r="CS165" s="20"/>
      <c r="CT165" s="20"/>
      <c r="CU165" s="20"/>
      <c r="CV165" s="20"/>
      <c r="CW165" s="20"/>
      <c r="CX165" s="20"/>
      <c r="CY165" s="20"/>
      <c r="CZ165" s="20"/>
      <c r="DA165" s="20"/>
      <c r="DC165" s="4" t="s">
        <v>156</v>
      </c>
      <c r="DD165" s="4">
        <v>1.9635</v>
      </c>
      <c r="DE165" s="4">
        <v>2.4051</v>
      </c>
      <c r="DF165" s="4">
        <v>2.1884999999999999</v>
      </c>
      <c r="DG165" s="4">
        <v>3.4333</v>
      </c>
      <c r="DH165" s="4">
        <v>2.0819999999999999</v>
      </c>
    </row>
    <row r="166" spans="2:112">
      <c r="B166" s="2" t="s">
        <v>157</v>
      </c>
      <c r="C166" s="20">
        <v>1</v>
      </c>
      <c r="D166" s="20">
        <v>0</v>
      </c>
      <c r="E166" s="20">
        <v>0</v>
      </c>
      <c r="F166" s="20">
        <v>0.21</v>
      </c>
      <c r="G166" s="20">
        <v>0.91</v>
      </c>
      <c r="H166" s="20">
        <v>1</v>
      </c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W166" s="2" t="s">
        <v>157</v>
      </c>
      <c r="X166" s="20">
        <v>0.8</v>
      </c>
      <c r="Y166" s="20">
        <v>0</v>
      </c>
      <c r="Z166" s="20">
        <v>0</v>
      </c>
      <c r="AA166" s="20">
        <v>0.25</v>
      </c>
      <c r="AB166" s="20">
        <v>0.98</v>
      </c>
      <c r="AC166" s="20">
        <v>1</v>
      </c>
      <c r="AD166" s="20"/>
      <c r="AE166" s="20"/>
      <c r="AF166" s="20"/>
      <c r="AG166" s="20"/>
      <c r="AH166" s="20"/>
      <c r="AI166" s="20"/>
      <c r="AJ166" s="20"/>
      <c r="AK166" s="20"/>
      <c r="AL166" s="20"/>
      <c r="AM166" s="20"/>
      <c r="AN166" s="20"/>
      <c r="AO166" s="20"/>
      <c r="AP166" s="20"/>
      <c r="AR166" s="2" t="s">
        <v>157</v>
      </c>
      <c r="AS166" s="20">
        <v>1</v>
      </c>
      <c r="AT166" s="20">
        <v>0</v>
      </c>
      <c r="AU166" s="20">
        <v>0</v>
      </c>
      <c r="AV166" s="20">
        <v>0.19</v>
      </c>
      <c r="AW166" s="20">
        <v>0.93</v>
      </c>
      <c r="AX166" s="20">
        <v>1</v>
      </c>
      <c r="AY166" s="20"/>
      <c r="AZ166" s="20"/>
      <c r="BA166" s="20"/>
      <c r="BB166" s="20"/>
      <c r="BC166" s="20"/>
      <c r="BD166" s="20"/>
      <c r="BE166" s="20"/>
      <c r="BF166" s="20"/>
      <c r="BG166" s="20"/>
      <c r="BH166" s="20"/>
      <c r="BI166" s="20"/>
      <c r="BJ166" s="20"/>
      <c r="BK166" s="20"/>
      <c r="BM166" s="2" t="s">
        <v>157</v>
      </c>
      <c r="BN166" s="20">
        <v>0.65</v>
      </c>
      <c r="BO166" s="20">
        <v>0</v>
      </c>
      <c r="BP166" s="20">
        <v>0</v>
      </c>
      <c r="BQ166" s="20">
        <v>0</v>
      </c>
      <c r="BR166" s="20">
        <v>0.74</v>
      </c>
      <c r="BS166" s="20">
        <v>1</v>
      </c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H166" s="2" t="s">
        <v>157</v>
      </c>
      <c r="CI166" s="20">
        <v>1</v>
      </c>
      <c r="CJ166" s="20">
        <v>0</v>
      </c>
      <c r="CK166" s="20">
        <v>0</v>
      </c>
      <c r="CL166" s="20">
        <v>0.21</v>
      </c>
      <c r="CM166" s="20">
        <v>0.91</v>
      </c>
      <c r="CN166" s="20">
        <v>1</v>
      </c>
      <c r="CO166" s="20"/>
      <c r="CP166" s="20"/>
      <c r="CQ166" s="20"/>
      <c r="CR166" s="20"/>
      <c r="CS166" s="20"/>
      <c r="CT166" s="20"/>
      <c r="CU166" s="20"/>
      <c r="CV166" s="20"/>
      <c r="CW166" s="20"/>
      <c r="CX166" s="20"/>
      <c r="CY166" s="20"/>
      <c r="CZ166" s="20"/>
      <c r="DA166" s="20"/>
      <c r="DC166" s="4" t="s">
        <v>157</v>
      </c>
      <c r="DD166" s="4">
        <v>2.1753999999999998</v>
      </c>
      <c r="DE166" s="4">
        <v>2.6419000000000001</v>
      </c>
      <c r="DF166" s="4">
        <v>2.4415</v>
      </c>
      <c r="DG166" s="4">
        <v>3.0686</v>
      </c>
      <c r="DH166" s="4">
        <v>2.3067000000000002</v>
      </c>
    </row>
    <row r="167" spans="2:112">
      <c r="B167" s="2" t="s">
        <v>158</v>
      </c>
      <c r="C167" s="20">
        <v>0.69</v>
      </c>
      <c r="D167" s="20">
        <v>0</v>
      </c>
      <c r="E167" s="20">
        <v>0</v>
      </c>
      <c r="F167" s="20">
        <v>0.04</v>
      </c>
      <c r="G167" s="20">
        <v>0.84</v>
      </c>
      <c r="H167" s="20">
        <v>0.88</v>
      </c>
      <c r="I167" s="20">
        <v>1</v>
      </c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W167" s="2" t="s">
        <v>158</v>
      </c>
      <c r="X167" s="20">
        <v>0.52</v>
      </c>
      <c r="Y167" s="20">
        <v>0.08</v>
      </c>
      <c r="Z167" s="20">
        <v>7.0000000000000007E-2</v>
      </c>
      <c r="AA167" s="20">
        <v>0.1</v>
      </c>
      <c r="AB167" s="20">
        <v>0.76</v>
      </c>
      <c r="AC167" s="20">
        <v>0.89</v>
      </c>
      <c r="AD167" s="20">
        <v>1</v>
      </c>
      <c r="AE167" s="20"/>
      <c r="AF167" s="20"/>
      <c r="AG167" s="20"/>
      <c r="AH167" s="20"/>
      <c r="AI167" s="20"/>
      <c r="AJ167" s="20"/>
      <c r="AK167" s="20"/>
      <c r="AL167" s="20"/>
      <c r="AM167" s="20"/>
      <c r="AN167" s="20"/>
      <c r="AO167" s="20"/>
      <c r="AP167" s="20"/>
      <c r="AR167" s="2" t="s">
        <v>158</v>
      </c>
      <c r="AS167" s="20">
        <v>0.66</v>
      </c>
      <c r="AT167" s="20">
        <v>0</v>
      </c>
      <c r="AU167" s="20">
        <v>0</v>
      </c>
      <c r="AV167" s="20">
        <v>0.02</v>
      </c>
      <c r="AW167" s="20">
        <v>0.77</v>
      </c>
      <c r="AX167" s="20">
        <v>0.89</v>
      </c>
      <c r="AY167" s="20">
        <v>1</v>
      </c>
      <c r="AZ167" s="20"/>
      <c r="BA167" s="20"/>
      <c r="BB167" s="20"/>
      <c r="BC167" s="20"/>
      <c r="BD167" s="20"/>
      <c r="BE167" s="20"/>
      <c r="BF167" s="20"/>
      <c r="BG167" s="20"/>
      <c r="BH167" s="20"/>
      <c r="BI167" s="20"/>
      <c r="BJ167" s="20"/>
      <c r="BK167" s="20"/>
      <c r="BM167" s="2" t="s">
        <v>158</v>
      </c>
      <c r="BN167" s="20">
        <v>0.7</v>
      </c>
      <c r="BO167" s="20">
        <v>0</v>
      </c>
      <c r="BP167" s="20">
        <v>0</v>
      </c>
      <c r="BQ167" s="20">
        <v>0.02</v>
      </c>
      <c r="BR167" s="20">
        <v>0.77</v>
      </c>
      <c r="BS167" s="20">
        <v>0.71</v>
      </c>
      <c r="BT167" s="20">
        <v>1</v>
      </c>
      <c r="BU167" s="20"/>
      <c r="BV167" s="20"/>
      <c r="BW167" s="20"/>
      <c r="BX167" s="20"/>
      <c r="BY167" s="20"/>
      <c r="BZ167" s="20"/>
      <c r="CA167" s="20"/>
      <c r="CB167" s="20"/>
      <c r="CC167" s="20"/>
      <c r="CD167" s="20"/>
      <c r="CE167" s="20"/>
      <c r="CF167" s="20"/>
      <c r="CH167" s="2" t="s">
        <v>158</v>
      </c>
      <c r="CI167" s="20">
        <v>0.69</v>
      </c>
      <c r="CJ167" s="20">
        <v>0</v>
      </c>
      <c r="CK167" s="20">
        <v>0</v>
      </c>
      <c r="CL167" s="20">
        <v>0.04</v>
      </c>
      <c r="CM167" s="20">
        <v>0.84</v>
      </c>
      <c r="CN167" s="20">
        <v>0.88</v>
      </c>
      <c r="CO167" s="20">
        <v>1</v>
      </c>
      <c r="CP167" s="20"/>
      <c r="CQ167" s="20"/>
      <c r="CR167" s="20"/>
      <c r="CS167" s="20"/>
      <c r="CT167" s="20"/>
      <c r="CU167" s="20"/>
      <c r="CV167" s="20"/>
      <c r="CW167" s="20"/>
      <c r="CX167" s="20"/>
      <c r="CY167" s="20"/>
      <c r="CZ167" s="20"/>
      <c r="DA167" s="20"/>
      <c r="DC167" s="4" t="s">
        <v>158</v>
      </c>
      <c r="DD167" s="4">
        <v>2.0789</v>
      </c>
      <c r="DE167" s="4">
        <v>2.5487000000000002</v>
      </c>
      <c r="DF167" s="4">
        <v>2.3123999999999998</v>
      </c>
      <c r="DG167" s="4">
        <v>3.5853999999999999</v>
      </c>
      <c r="DH167" s="4">
        <v>2.2042999999999999</v>
      </c>
    </row>
    <row r="168" spans="2:112">
      <c r="B168" s="2" t="s">
        <v>159</v>
      </c>
      <c r="C168" s="20">
        <v>0</v>
      </c>
      <c r="D168" s="20">
        <v>0</v>
      </c>
      <c r="E168" s="20">
        <v>0</v>
      </c>
      <c r="F168" s="20">
        <v>0</v>
      </c>
      <c r="G168" s="20">
        <v>0.28999999999999998</v>
      </c>
      <c r="H168" s="20">
        <v>0.14000000000000001</v>
      </c>
      <c r="I168" s="20">
        <v>0.08</v>
      </c>
      <c r="J168" s="20">
        <v>1</v>
      </c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W168" s="2" t="s">
        <v>159</v>
      </c>
      <c r="X168" s="20">
        <v>0.17</v>
      </c>
      <c r="Y168" s="20">
        <v>0.18</v>
      </c>
      <c r="Z168" s="20">
        <v>0.06</v>
      </c>
      <c r="AA168" s="20">
        <v>0</v>
      </c>
      <c r="AB168" s="20">
        <v>0.28999999999999998</v>
      </c>
      <c r="AC168" s="20">
        <v>0.22</v>
      </c>
      <c r="AD168" s="20">
        <v>0.13</v>
      </c>
      <c r="AE168" s="20">
        <v>1</v>
      </c>
      <c r="AF168" s="20"/>
      <c r="AG168" s="20"/>
      <c r="AH168" s="20"/>
      <c r="AI168" s="20"/>
      <c r="AJ168" s="20"/>
      <c r="AK168" s="20"/>
      <c r="AL168" s="20"/>
      <c r="AM168" s="20"/>
      <c r="AN168" s="20"/>
      <c r="AO168" s="20"/>
      <c r="AP168" s="20"/>
      <c r="AR168" s="2" t="s">
        <v>159</v>
      </c>
      <c r="AS168" s="20">
        <v>0.06</v>
      </c>
      <c r="AT168" s="20">
        <v>0</v>
      </c>
      <c r="AU168" s="20">
        <v>0</v>
      </c>
      <c r="AV168" s="20">
        <v>0</v>
      </c>
      <c r="AW168" s="20">
        <v>0.25</v>
      </c>
      <c r="AX168" s="20">
        <v>0.24</v>
      </c>
      <c r="AY168" s="20">
        <v>0.08</v>
      </c>
      <c r="AZ168" s="20">
        <v>1</v>
      </c>
      <c r="BA168" s="20"/>
      <c r="BB168" s="20"/>
      <c r="BC168" s="20"/>
      <c r="BD168" s="20"/>
      <c r="BE168" s="20"/>
      <c r="BF168" s="20"/>
      <c r="BG168" s="20"/>
      <c r="BH168" s="20"/>
      <c r="BI168" s="20"/>
      <c r="BJ168" s="20"/>
      <c r="BK168" s="20"/>
      <c r="BM168" s="2" t="s">
        <v>159</v>
      </c>
      <c r="BN168" s="20">
        <v>0</v>
      </c>
      <c r="BO168" s="20">
        <v>0</v>
      </c>
      <c r="BP168" s="20">
        <v>0.19</v>
      </c>
      <c r="BQ168" s="20">
        <v>0.14000000000000001</v>
      </c>
      <c r="BR168" s="20">
        <v>0</v>
      </c>
      <c r="BS168" s="20">
        <v>0</v>
      </c>
      <c r="BT168" s="20">
        <v>0</v>
      </c>
      <c r="BU168" s="20">
        <v>1</v>
      </c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H168" s="2" t="s">
        <v>159</v>
      </c>
      <c r="CI168" s="20">
        <v>0</v>
      </c>
      <c r="CJ168" s="20">
        <v>0</v>
      </c>
      <c r="CK168" s="20">
        <v>0</v>
      </c>
      <c r="CL168" s="20">
        <v>0</v>
      </c>
      <c r="CM168" s="20">
        <v>0.28999999999999998</v>
      </c>
      <c r="CN168" s="20">
        <v>0.14000000000000001</v>
      </c>
      <c r="CO168" s="20">
        <v>0.08</v>
      </c>
      <c r="CP168" s="20">
        <v>1</v>
      </c>
      <c r="CQ168" s="20"/>
      <c r="CR168" s="20"/>
      <c r="CS168" s="20"/>
      <c r="CT168" s="20"/>
      <c r="CU168" s="20"/>
      <c r="CV168" s="20"/>
      <c r="CW168" s="20"/>
      <c r="CX168" s="20"/>
      <c r="CY168" s="20"/>
      <c r="CZ168" s="20"/>
      <c r="DA168" s="20"/>
      <c r="DC168" s="4" t="s">
        <v>159</v>
      </c>
      <c r="DD168" s="4">
        <v>1.5654999999999999</v>
      </c>
      <c r="DE168" s="4">
        <v>1.9119999999999999</v>
      </c>
      <c r="DF168" s="4">
        <v>1.7282999999999999</v>
      </c>
      <c r="DG168" s="4">
        <v>1.9347000000000001</v>
      </c>
      <c r="DH168" s="4">
        <v>1.66</v>
      </c>
    </row>
    <row r="169" spans="2:112">
      <c r="B169" s="2" t="s">
        <v>160</v>
      </c>
      <c r="C169" s="20">
        <v>1</v>
      </c>
      <c r="D169" s="20">
        <v>1</v>
      </c>
      <c r="E169" s="20">
        <v>1</v>
      </c>
      <c r="F169" s="20">
        <v>1</v>
      </c>
      <c r="G169" s="20">
        <v>1</v>
      </c>
      <c r="H169" s="20">
        <v>1</v>
      </c>
      <c r="I169" s="20">
        <v>1</v>
      </c>
      <c r="J169" s="20">
        <v>1</v>
      </c>
      <c r="K169" s="20">
        <v>1</v>
      </c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W169" s="2" t="s">
        <v>160</v>
      </c>
      <c r="X169" s="20">
        <v>1</v>
      </c>
      <c r="Y169" s="20">
        <v>1</v>
      </c>
      <c r="Z169" s="20">
        <v>1</v>
      </c>
      <c r="AA169" s="20">
        <v>1</v>
      </c>
      <c r="AB169" s="20">
        <v>1</v>
      </c>
      <c r="AC169" s="20">
        <v>1</v>
      </c>
      <c r="AD169" s="20">
        <v>1</v>
      </c>
      <c r="AE169" s="20">
        <v>1</v>
      </c>
      <c r="AF169" s="20">
        <v>1</v>
      </c>
      <c r="AG169" s="20"/>
      <c r="AH169" s="20"/>
      <c r="AI169" s="20"/>
      <c r="AJ169" s="20"/>
      <c r="AK169" s="20"/>
      <c r="AL169" s="20"/>
      <c r="AM169" s="20"/>
      <c r="AN169" s="20"/>
      <c r="AO169" s="20"/>
      <c r="AP169" s="20"/>
      <c r="AR169" s="2" t="s">
        <v>160</v>
      </c>
      <c r="AS169" s="20">
        <v>1</v>
      </c>
      <c r="AT169" s="20">
        <v>1</v>
      </c>
      <c r="AU169" s="20">
        <v>1</v>
      </c>
      <c r="AV169" s="20">
        <v>1</v>
      </c>
      <c r="AW169" s="20">
        <v>1</v>
      </c>
      <c r="AX169" s="20">
        <v>0</v>
      </c>
      <c r="AY169" s="20">
        <v>1</v>
      </c>
      <c r="AZ169" s="20">
        <v>1</v>
      </c>
      <c r="BA169" s="20">
        <v>1</v>
      </c>
      <c r="BB169" s="20"/>
      <c r="BC169" s="20"/>
      <c r="BD169" s="20"/>
      <c r="BE169" s="20"/>
      <c r="BF169" s="20"/>
      <c r="BG169" s="20"/>
      <c r="BH169" s="20"/>
      <c r="BI169" s="20"/>
      <c r="BJ169" s="20"/>
      <c r="BK169" s="20"/>
      <c r="BM169" s="2" t="s">
        <v>160</v>
      </c>
      <c r="BN169" s="20">
        <v>0</v>
      </c>
      <c r="BO169" s="20">
        <v>1</v>
      </c>
      <c r="BP169" s="20">
        <v>1</v>
      </c>
      <c r="BQ169" s="20">
        <v>1</v>
      </c>
      <c r="BR169" s="20">
        <v>0</v>
      </c>
      <c r="BS169" s="20">
        <v>0</v>
      </c>
      <c r="BT169" s="20">
        <v>0</v>
      </c>
      <c r="BU169" s="20">
        <v>1</v>
      </c>
      <c r="BV169" s="20">
        <v>1</v>
      </c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H169" s="2" t="s">
        <v>160</v>
      </c>
      <c r="CI169" s="20">
        <v>1</v>
      </c>
      <c r="CJ169" s="20">
        <v>1</v>
      </c>
      <c r="CK169" s="20">
        <v>1</v>
      </c>
      <c r="CL169" s="20">
        <v>1</v>
      </c>
      <c r="CM169" s="20">
        <v>1</v>
      </c>
      <c r="CN169" s="20">
        <v>1</v>
      </c>
      <c r="CO169" s="20">
        <v>1</v>
      </c>
      <c r="CP169" s="20">
        <v>1</v>
      </c>
      <c r="CQ169" s="20">
        <v>1</v>
      </c>
      <c r="CR169" s="20"/>
      <c r="CS169" s="20"/>
      <c r="CT169" s="20"/>
      <c r="CU169" s="20"/>
      <c r="CV169" s="20"/>
      <c r="CW169" s="20"/>
      <c r="CX169" s="20"/>
      <c r="CY169" s="20"/>
      <c r="CZ169" s="20"/>
      <c r="DA169" s="20"/>
      <c r="DC169" s="4" t="s">
        <v>160</v>
      </c>
      <c r="DD169" s="4">
        <v>0</v>
      </c>
      <c r="DE169" s="4">
        <v>0</v>
      </c>
      <c r="DF169" s="4">
        <v>0</v>
      </c>
      <c r="DG169" s="4">
        <v>0</v>
      </c>
      <c r="DH169" s="4">
        <v>0</v>
      </c>
    </row>
    <row r="170" spans="2:112">
      <c r="B170" s="2" t="s">
        <v>161</v>
      </c>
      <c r="C170" s="20">
        <v>0</v>
      </c>
      <c r="D170" s="20">
        <v>0.19</v>
      </c>
      <c r="E170" s="20">
        <v>0.26</v>
      </c>
      <c r="F170" s="20">
        <v>0.05</v>
      </c>
      <c r="G170" s="20">
        <v>0</v>
      </c>
      <c r="H170" s="20">
        <v>0</v>
      </c>
      <c r="I170" s="20">
        <v>0</v>
      </c>
      <c r="J170" s="20">
        <v>0.66</v>
      </c>
      <c r="K170" s="20">
        <v>1</v>
      </c>
      <c r="L170" s="20">
        <v>1</v>
      </c>
      <c r="M170" s="20"/>
      <c r="N170" s="20"/>
      <c r="O170" s="20"/>
      <c r="P170" s="20"/>
      <c r="Q170" s="20"/>
      <c r="R170" s="20"/>
      <c r="S170" s="20"/>
      <c r="T170" s="20"/>
      <c r="U170" s="20"/>
      <c r="W170" s="2" t="s">
        <v>161</v>
      </c>
      <c r="X170" s="20">
        <v>0</v>
      </c>
      <c r="Y170" s="20">
        <v>0.42</v>
      </c>
      <c r="Z170" s="20">
        <v>0.18</v>
      </c>
      <c r="AA170" s="20">
        <v>0.05</v>
      </c>
      <c r="AB170" s="20">
        <v>0</v>
      </c>
      <c r="AC170" s="20">
        <v>0</v>
      </c>
      <c r="AD170" s="20">
        <v>0</v>
      </c>
      <c r="AE170" s="20">
        <v>0.71</v>
      </c>
      <c r="AF170" s="20">
        <v>1</v>
      </c>
      <c r="AG170" s="20">
        <v>1</v>
      </c>
      <c r="AH170" s="20"/>
      <c r="AI170" s="20"/>
      <c r="AJ170" s="20"/>
      <c r="AK170" s="20"/>
      <c r="AL170" s="20"/>
      <c r="AM170" s="20"/>
      <c r="AN170" s="20"/>
      <c r="AO170" s="20"/>
      <c r="AP170" s="20"/>
      <c r="AR170" s="2" t="s">
        <v>161</v>
      </c>
      <c r="AS170" s="20">
        <v>0</v>
      </c>
      <c r="AT170" s="20">
        <v>0.22</v>
      </c>
      <c r="AU170" s="20">
        <v>0.21</v>
      </c>
      <c r="AV170" s="20">
        <v>0.01</v>
      </c>
      <c r="AW170" s="20">
        <v>0</v>
      </c>
      <c r="AX170" s="20">
        <v>0</v>
      </c>
      <c r="AY170" s="20">
        <v>0</v>
      </c>
      <c r="AZ170" s="20">
        <v>0.59</v>
      </c>
      <c r="BA170" s="20">
        <v>1</v>
      </c>
      <c r="BB170" s="20">
        <v>1</v>
      </c>
      <c r="BC170" s="20"/>
      <c r="BD170" s="20"/>
      <c r="BE170" s="20"/>
      <c r="BF170" s="20"/>
      <c r="BG170" s="20"/>
      <c r="BH170" s="20"/>
      <c r="BI170" s="20"/>
      <c r="BJ170" s="20"/>
      <c r="BK170" s="20"/>
      <c r="BM170" s="2" t="s">
        <v>161</v>
      </c>
      <c r="BN170" s="20">
        <v>0</v>
      </c>
      <c r="BO170" s="20">
        <v>0</v>
      </c>
      <c r="BP170" s="20">
        <v>0</v>
      </c>
      <c r="BQ170" s="20">
        <v>0</v>
      </c>
      <c r="BR170" s="20">
        <v>0</v>
      </c>
      <c r="BS170" s="20">
        <v>0</v>
      </c>
      <c r="BT170" s="20">
        <v>0</v>
      </c>
      <c r="BU170" s="20">
        <v>0</v>
      </c>
      <c r="BV170" s="20">
        <v>0</v>
      </c>
      <c r="BW170" s="20">
        <v>1</v>
      </c>
      <c r="BX170" s="20"/>
      <c r="BY170" s="20"/>
      <c r="BZ170" s="20"/>
      <c r="CA170" s="20"/>
      <c r="CB170" s="20"/>
      <c r="CC170" s="20"/>
      <c r="CD170" s="20"/>
      <c r="CE170" s="20"/>
      <c r="CF170" s="20"/>
      <c r="CH170" s="2" t="s">
        <v>161</v>
      </c>
      <c r="CI170" s="20">
        <v>0</v>
      </c>
      <c r="CJ170" s="20">
        <v>0.19</v>
      </c>
      <c r="CK170" s="20">
        <v>0.26</v>
      </c>
      <c r="CL170" s="20">
        <v>0.05</v>
      </c>
      <c r="CM170" s="20">
        <v>0</v>
      </c>
      <c r="CN170" s="20">
        <v>0</v>
      </c>
      <c r="CO170" s="20">
        <v>0</v>
      </c>
      <c r="CP170" s="20">
        <v>0.66</v>
      </c>
      <c r="CQ170" s="20">
        <v>1</v>
      </c>
      <c r="CR170" s="20">
        <v>1</v>
      </c>
      <c r="CS170" s="20"/>
      <c r="CT170" s="20"/>
      <c r="CU170" s="20"/>
      <c r="CV170" s="20"/>
      <c r="CW170" s="20"/>
      <c r="CX170" s="20"/>
      <c r="CY170" s="20"/>
      <c r="CZ170" s="20"/>
      <c r="DA170" s="20"/>
      <c r="DC170" s="4" t="s">
        <v>161</v>
      </c>
      <c r="DD170" s="4">
        <v>0.23649999999999999</v>
      </c>
      <c r="DE170" s="4">
        <v>0.30220000000000002</v>
      </c>
      <c r="DF170" s="4">
        <v>0.25419999999999998</v>
      </c>
      <c r="DG170" s="4">
        <v>0</v>
      </c>
      <c r="DH170" s="4">
        <v>0.25080000000000002</v>
      </c>
    </row>
    <row r="171" spans="2:112">
      <c r="B171" s="2" t="s">
        <v>162</v>
      </c>
      <c r="C171" s="20">
        <v>0.22</v>
      </c>
      <c r="D171" s="20">
        <v>0.26</v>
      </c>
      <c r="E171" s="20">
        <v>0.5</v>
      </c>
      <c r="F171" s="20">
        <v>0.2</v>
      </c>
      <c r="G171" s="20">
        <v>0</v>
      </c>
      <c r="H171" s="20">
        <v>0</v>
      </c>
      <c r="I171" s="20">
        <v>0</v>
      </c>
      <c r="J171" s="20">
        <v>0.76</v>
      </c>
      <c r="K171" s="20">
        <v>1</v>
      </c>
      <c r="L171" s="20">
        <v>0.65</v>
      </c>
      <c r="M171" s="20">
        <v>1</v>
      </c>
      <c r="N171" s="20"/>
      <c r="O171" s="20"/>
      <c r="P171" s="20"/>
      <c r="Q171" s="20"/>
      <c r="R171" s="20"/>
      <c r="S171" s="20"/>
      <c r="T171" s="20"/>
      <c r="U171" s="20"/>
      <c r="W171" s="2" t="s">
        <v>162</v>
      </c>
      <c r="X171" s="20">
        <v>0</v>
      </c>
      <c r="Y171" s="20">
        <v>0.28999999999999998</v>
      </c>
      <c r="Z171" s="20">
        <v>0.26</v>
      </c>
      <c r="AA171" s="20">
        <v>0.01</v>
      </c>
      <c r="AB171" s="20">
        <v>0.16</v>
      </c>
      <c r="AC171" s="20">
        <v>0</v>
      </c>
      <c r="AD171" s="20">
        <v>0.05</v>
      </c>
      <c r="AE171" s="20">
        <v>0.68</v>
      </c>
      <c r="AF171" s="20">
        <v>1</v>
      </c>
      <c r="AG171" s="20">
        <v>0.57999999999999996</v>
      </c>
      <c r="AH171" s="20">
        <v>1</v>
      </c>
      <c r="AI171" s="20"/>
      <c r="AJ171" s="20"/>
      <c r="AK171" s="20"/>
      <c r="AL171" s="20"/>
      <c r="AM171" s="20"/>
      <c r="AN171" s="20"/>
      <c r="AO171" s="20"/>
      <c r="AP171" s="20"/>
      <c r="AR171" s="2" t="s">
        <v>162</v>
      </c>
      <c r="AS171" s="20">
        <v>0.19</v>
      </c>
      <c r="AT171" s="20">
        <v>0.28000000000000003</v>
      </c>
      <c r="AU171" s="20">
        <v>0.2</v>
      </c>
      <c r="AV171" s="20">
        <v>0.13</v>
      </c>
      <c r="AW171" s="20">
        <v>0</v>
      </c>
      <c r="AX171" s="20">
        <v>0</v>
      </c>
      <c r="AY171" s="20">
        <v>0</v>
      </c>
      <c r="AZ171" s="20">
        <v>0.77</v>
      </c>
      <c r="BA171" s="20">
        <v>1</v>
      </c>
      <c r="BB171" s="20">
        <v>0.71</v>
      </c>
      <c r="BC171" s="20">
        <v>1</v>
      </c>
      <c r="BD171" s="20"/>
      <c r="BE171" s="20"/>
      <c r="BF171" s="20"/>
      <c r="BG171" s="20"/>
      <c r="BH171" s="20"/>
      <c r="BI171" s="20"/>
      <c r="BJ171" s="20"/>
      <c r="BK171" s="20"/>
      <c r="BM171" s="2" t="s">
        <v>162</v>
      </c>
      <c r="BN171" s="20">
        <v>0</v>
      </c>
      <c r="BO171" s="20">
        <v>0</v>
      </c>
      <c r="BP171" s="20">
        <v>0.06</v>
      </c>
      <c r="BQ171" s="20">
        <v>0</v>
      </c>
      <c r="BR171" s="20">
        <v>0</v>
      </c>
      <c r="BS171" s="20">
        <v>0</v>
      </c>
      <c r="BT171" s="20">
        <v>0</v>
      </c>
      <c r="BU171" s="20">
        <v>0.65</v>
      </c>
      <c r="BV171" s="20">
        <v>1</v>
      </c>
      <c r="BW171" s="20">
        <v>0</v>
      </c>
      <c r="BX171" s="20">
        <v>1</v>
      </c>
      <c r="BY171" s="20"/>
      <c r="BZ171" s="20"/>
      <c r="CA171" s="20"/>
      <c r="CB171" s="20"/>
      <c r="CC171" s="20"/>
      <c r="CD171" s="20"/>
      <c r="CE171" s="20"/>
      <c r="CF171" s="20"/>
      <c r="CH171" s="2" t="s">
        <v>162</v>
      </c>
      <c r="CI171" s="20">
        <v>0.22</v>
      </c>
      <c r="CJ171" s="20">
        <v>0.26</v>
      </c>
      <c r="CK171" s="20">
        <v>0.5</v>
      </c>
      <c r="CL171" s="20">
        <v>0.2</v>
      </c>
      <c r="CM171" s="20">
        <v>0</v>
      </c>
      <c r="CN171" s="20">
        <v>0</v>
      </c>
      <c r="CO171" s="20">
        <v>0</v>
      </c>
      <c r="CP171" s="20">
        <v>0.76</v>
      </c>
      <c r="CQ171" s="20">
        <v>1</v>
      </c>
      <c r="CR171" s="20">
        <v>0.65</v>
      </c>
      <c r="CS171" s="20">
        <v>1</v>
      </c>
      <c r="CT171" s="20"/>
      <c r="CU171" s="20"/>
      <c r="CV171" s="20"/>
      <c r="CW171" s="20"/>
      <c r="CX171" s="20"/>
      <c r="CY171" s="20"/>
      <c r="CZ171" s="20"/>
      <c r="DA171" s="20"/>
      <c r="DC171" s="4" t="s">
        <v>162</v>
      </c>
      <c r="DD171" s="4">
        <v>0.95</v>
      </c>
      <c r="DE171" s="4">
        <v>0.93540000000000001</v>
      </c>
      <c r="DF171" s="4">
        <v>1.0396000000000001</v>
      </c>
      <c r="DG171" s="4">
        <v>2.1951000000000001</v>
      </c>
      <c r="DH171" s="4">
        <v>1.0073000000000001</v>
      </c>
    </row>
    <row r="172" spans="2:112">
      <c r="B172" s="2" t="s">
        <v>163</v>
      </c>
      <c r="C172" s="20">
        <v>0.15</v>
      </c>
      <c r="D172" s="20">
        <v>0.35</v>
      </c>
      <c r="E172" s="20">
        <v>0.44</v>
      </c>
      <c r="F172" s="20">
        <v>0.2</v>
      </c>
      <c r="G172" s="20">
        <v>0</v>
      </c>
      <c r="H172" s="20">
        <v>0</v>
      </c>
      <c r="I172" s="20">
        <v>0.04</v>
      </c>
      <c r="J172" s="20">
        <v>0</v>
      </c>
      <c r="K172" s="20">
        <v>1</v>
      </c>
      <c r="L172" s="20">
        <v>0.39</v>
      </c>
      <c r="M172" s="20">
        <v>0.53</v>
      </c>
      <c r="N172" s="20">
        <v>1</v>
      </c>
      <c r="O172" s="20"/>
      <c r="P172" s="20"/>
      <c r="Q172" s="20"/>
      <c r="R172" s="20"/>
      <c r="S172" s="20"/>
      <c r="T172" s="20"/>
      <c r="U172" s="20"/>
      <c r="W172" s="2" t="s">
        <v>163</v>
      </c>
      <c r="X172" s="20">
        <v>0</v>
      </c>
      <c r="Y172" s="20">
        <v>0.41</v>
      </c>
      <c r="Z172" s="20">
        <v>0.18</v>
      </c>
      <c r="AA172" s="20">
        <v>0.06</v>
      </c>
      <c r="AB172" s="20">
        <v>0</v>
      </c>
      <c r="AC172" s="20">
        <v>0</v>
      </c>
      <c r="AD172" s="20">
        <v>0</v>
      </c>
      <c r="AE172" s="20">
        <v>0.09</v>
      </c>
      <c r="AF172" s="20">
        <v>1</v>
      </c>
      <c r="AG172" s="20">
        <v>0.37</v>
      </c>
      <c r="AH172" s="20">
        <v>0.17</v>
      </c>
      <c r="AI172" s="20">
        <v>1</v>
      </c>
      <c r="AJ172" s="20"/>
      <c r="AK172" s="20"/>
      <c r="AL172" s="20"/>
      <c r="AM172" s="20"/>
      <c r="AN172" s="20"/>
      <c r="AO172" s="20"/>
      <c r="AP172" s="20"/>
      <c r="AR172" s="2" t="s">
        <v>163</v>
      </c>
      <c r="AS172" s="20">
        <v>0.11</v>
      </c>
      <c r="AT172" s="20">
        <v>0.35</v>
      </c>
      <c r="AU172" s="20">
        <v>0.32</v>
      </c>
      <c r="AV172" s="20">
        <v>0.03</v>
      </c>
      <c r="AW172" s="20">
        <v>0</v>
      </c>
      <c r="AX172" s="20">
        <v>0</v>
      </c>
      <c r="AY172" s="20">
        <v>0</v>
      </c>
      <c r="AZ172" s="20">
        <v>0</v>
      </c>
      <c r="BA172" s="20">
        <v>1</v>
      </c>
      <c r="BB172" s="20">
        <v>0.27</v>
      </c>
      <c r="BC172" s="20">
        <v>0.42</v>
      </c>
      <c r="BD172" s="20">
        <v>1</v>
      </c>
      <c r="BE172" s="20"/>
      <c r="BF172" s="20"/>
      <c r="BG172" s="20"/>
      <c r="BH172" s="20"/>
      <c r="BI172" s="20"/>
      <c r="BJ172" s="20"/>
      <c r="BK172" s="20"/>
      <c r="BM172" s="2" t="s">
        <v>163</v>
      </c>
      <c r="BN172" s="20">
        <v>0</v>
      </c>
      <c r="BO172" s="20">
        <v>0</v>
      </c>
      <c r="BP172" s="20">
        <v>0.03</v>
      </c>
      <c r="BQ172" s="20">
        <v>0</v>
      </c>
      <c r="BR172" s="20">
        <v>0</v>
      </c>
      <c r="BS172" s="20">
        <v>0</v>
      </c>
      <c r="BT172" s="20">
        <v>0</v>
      </c>
      <c r="BU172" s="20">
        <v>0</v>
      </c>
      <c r="BV172" s="20">
        <v>1</v>
      </c>
      <c r="BW172" s="20">
        <v>0</v>
      </c>
      <c r="BX172" s="20">
        <v>0.45</v>
      </c>
      <c r="BY172" s="20">
        <v>1</v>
      </c>
      <c r="BZ172" s="20"/>
      <c r="CA172" s="20"/>
      <c r="CB172" s="20"/>
      <c r="CC172" s="20"/>
      <c r="CD172" s="20"/>
      <c r="CE172" s="20"/>
      <c r="CF172" s="20"/>
      <c r="CH172" s="2" t="s">
        <v>163</v>
      </c>
      <c r="CI172" s="20">
        <v>0.15</v>
      </c>
      <c r="CJ172" s="20">
        <v>0.35</v>
      </c>
      <c r="CK172" s="20">
        <v>0.44</v>
      </c>
      <c r="CL172" s="20">
        <v>0.2</v>
      </c>
      <c r="CM172" s="20">
        <v>0</v>
      </c>
      <c r="CN172" s="20">
        <v>0</v>
      </c>
      <c r="CO172" s="20">
        <v>0.04</v>
      </c>
      <c r="CP172" s="20">
        <v>0</v>
      </c>
      <c r="CQ172" s="20">
        <v>1</v>
      </c>
      <c r="CR172" s="20">
        <v>0.39</v>
      </c>
      <c r="CS172" s="20">
        <v>0.53</v>
      </c>
      <c r="CT172" s="20">
        <v>1</v>
      </c>
      <c r="CU172" s="20"/>
      <c r="CV172" s="20"/>
      <c r="CW172" s="20"/>
      <c r="CX172" s="20"/>
      <c r="CY172" s="20"/>
      <c r="CZ172" s="20"/>
      <c r="DA172" s="20"/>
      <c r="DC172" s="4" t="s">
        <v>163</v>
      </c>
      <c r="DD172" s="4">
        <v>1.8E-3</v>
      </c>
      <c r="DE172" s="4">
        <v>8.8000000000000005E-3</v>
      </c>
      <c r="DF172" s="4">
        <v>2.8999999999999998E-3</v>
      </c>
      <c r="DG172" s="4">
        <v>1.6799999999999999E-2</v>
      </c>
      <c r="DH172" s="4">
        <v>1.9E-3</v>
      </c>
    </row>
    <row r="173" spans="2:112">
      <c r="B173" s="2" t="s">
        <v>164</v>
      </c>
      <c r="C173" s="20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>
        <v>0</v>
      </c>
      <c r="N173" s="20">
        <v>0</v>
      </c>
      <c r="O173" s="20">
        <v>1</v>
      </c>
      <c r="P173" s="20"/>
      <c r="Q173" s="20"/>
      <c r="R173" s="20"/>
      <c r="S173" s="20"/>
      <c r="T173" s="20"/>
      <c r="U173" s="20"/>
      <c r="W173" s="2" t="s">
        <v>164</v>
      </c>
      <c r="X173" s="20">
        <v>0</v>
      </c>
      <c r="Y173" s="20">
        <v>0</v>
      </c>
      <c r="Z173" s="20">
        <v>0</v>
      </c>
      <c r="AA173" s="20">
        <v>0</v>
      </c>
      <c r="AB173" s="20">
        <v>0</v>
      </c>
      <c r="AC173" s="20">
        <v>0</v>
      </c>
      <c r="AD173" s="20">
        <v>0</v>
      </c>
      <c r="AE173" s="20">
        <v>0</v>
      </c>
      <c r="AF173" s="20">
        <v>0</v>
      </c>
      <c r="AG173" s="20">
        <v>0</v>
      </c>
      <c r="AH173" s="20">
        <v>0</v>
      </c>
      <c r="AI173" s="20">
        <v>0</v>
      </c>
      <c r="AJ173" s="20">
        <v>1</v>
      </c>
      <c r="AK173" s="20"/>
      <c r="AL173" s="20"/>
      <c r="AM173" s="20"/>
      <c r="AN173" s="20"/>
      <c r="AO173" s="20"/>
      <c r="AP173" s="20"/>
      <c r="AR173" s="2" t="s">
        <v>164</v>
      </c>
      <c r="AS173" s="20">
        <v>0</v>
      </c>
      <c r="AT173" s="20">
        <v>0</v>
      </c>
      <c r="AU173" s="20">
        <v>0</v>
      </c>
      <c r="AV173" s="20">
        <v>0</v>
      </c>
      <c r="AW173" s="20">
        <v>0</v>
      </c>
      <c r="AX173" s="20">
        <v>0</v>
      </c>
      <c r="AY173" s="20">
        <v>0</v>
      </c>
      <c r="AZ173" s="20">
        <v>0</v>
      </c>
      <c r="BA173" s="20">
        <v>0</v>
      </c>
      <c r="BB173" s="20">
        <v>0</v>
      </c>
      <c r="BC173" s="20">
        <v>0</v>
      </c>
      <c r="BD173" s="20">
        <v>0</v>
      </c>
      <c r="BE173" s="20">
        <v>1</v>
      </c>
      <c r="BF173" s="20"/>
      <c r="BG173" s="20"/>
      <c r="BH173" s="20"/>
      <c r="BI173" s="20"/>
      <c r="BJ173" s="20"/>
      <c r="BK173" s="20"/>
      <c r="BM173" s="2" t="s">
        <v>164</v>
      </c>
      <c r="BN173" s="20">
        <v>0</v>
      </c>
      <c r="BO173" s="20">
        <v>0</v>
      </c>
      <c r="BP173" s="20">
        <v>0</v>
      </c>
      <c r="BQ173" s="20">
        <v>0</v>
      </c>
      <c r="BR173" s="20">
        <v>0</v>
      </c>
      <c r="BS173" s="20">
        <v>0</v>
      </c>
      <c r="BT173" s="20">
        <v>0</v>
      </c>
      <c r="BU173" s="20">
        <v>0</v>
      </c>
      <c r="BV173" s="20">
        <v>0</v>
      </c>
      <c r="BW173" s="20">
        <v>0</v>
      </c>
      <c r="BX173" s="20">
        <v>0</v>
      </c>
      <c r="BY173" s="20">
        <v>0</v>
      </c>
      <c r="BZ173" s="20">
        <v>1</v>
      </c>
      <c r="CA173" s="20"/>
      <c r="CB173" s="20"/>
      <c r="CC173" s="20"/>
      <c r="CD173" s="20"/>
      <c r="CE173" s="20"/>
      <c r="CF173" s="20"/>
      <c r="CH173" s="2" t="s">
        <v>164</v>
      </c>
      <c r="CI173" s="20">
        <v>0</v>
      </c>
      <c r="CJ173" s="20">
        <v>0</v>
      </c>
      <c r="CK173" s="20">
        <v>0</v>
      </c>
      <c r="CL173" s="20">
        <v>0</v>
      </c>
      <c r="CM173" s="20">
        <v>0</v>
      </c>
      <c r="CN173" s="20">
        <v>0</v>
      </c>
      <c r="CO173" s="20">
        <v>0</v>
      </c>
      <c r="CP173" s="20">
        <v>0</v>
      </c>
      <c r="CQ173" s="20">
        <v>0</v>
      </c>
      <c r="CR173" s="20">
        <v>0</v>
      </c>
      <c r="CS173" s="20">
        <v>0</v>
      </c>
      <c r="CT173" s="20">
        <v>0</v>
      </c>
      <c r="CU173" s="20">
        <v>1</v>
      </c>
      <c r="CV173" s="20"/>
      <c r="CW173" s="20"/>
      <c r="CX173" s="20"/>
      <c r="CY173" s="20"/>
      <c r="CZ173" s="20"/>
      <c r="DA173" s="20"/>
      <c r="DC173" s="4" t="s">
        <v>164</v>
      </c>
      <c r="DD173" s="4">
        <v>0</v>
      </c>
      <c r="DE173" s="4">
        <v>0</v>
      </c>
      <c r="DF173" s="4">
        <v>0</v>
      </c>
      <c r="DG173" s="4">
        <v>0</v>
      </c>
      <c r="DH173" s="4">
        <v>0</v>
      </c>
    </row>
    <row r="174" spans="2:112">
      <c r="B174" s="2" t="s">
        <v>165</v>
      </c>
      <c r="C174" s="20">
        <v>0</v>
      </c>
      <c r="D174" s="20">
        <v>0.21</v>
      </c>
      <c r="E174" s="20">
        <v>0</v>
      </c>
      <c r="F174" s="20">
        <v>0.17</v>
      </c>
      <c r="G174" s="20">
        <v>0</v>
      </c>
      <c r="H174" s="20">
        <v>0</v>
      </c>
      <c r="I174" s="20">
        <v>0</v>
      </c>
      <c r="J174" s="20">
        <v>0</v>
      </c>
      <c r="K174" s="20">
        <v>1</v>
      </c>
      <c r="L174" s="20">
        <v>0</v>
      </c>
      <c r="M174" s="20">
        <v>0</v>
      </c>
      <c r="N174" s="20">
        <v>0.22</v>
      </c>
      <c r="O174" s="20">
        <v>0</v>
      </c>
      <c r="P174" s="20">
        <v>1</v>
      </c>
      <c r="Q174" s="20"/>
      <c r="R174" s="20"/>
      <c r="S174" s="20"/>
      <c r="T174" s="20"/>
      <c r="U174" s="20"/>
      <c r="W174" s="2" t="s">
        <v>165</v>
      </c>
      <c r="X174" s="20">
        <v>0</v>
      </c>
      <c r="Y174" s="20">
        <v>0.01</v>
      </c>
      <c r="Z174" s="20">
        <v>0</v>
      </c>
      <c r="AA174" s="20">
        <v>0.1</v>
      </c>
      <c r="AB174" s="20">
        <v>0</v>
      </c>
      <c r="AC174" s="20">
        <v>0</v>
      </c>
      <c r="AD174" s="20">
        <v>0</v>
      </c>
      <c r="AE174" s="20">
        <v>0</v>
      </c>
      <c r="AF174" s="20">
        <v>1</v>
      </c>
      <c r="AG174" s="20">
        <v>0</v>
      </c>
      <c r="AH174" s="20">
        <v>0</v>
      </c>
      <c r="AI174" s="20">
        <v>0.04</v>
      </c>
      <c r="AJ174" s="20">
        <v>0</v>
      </c>
      <c r="AK174" s="20">
        <v>1</v>
      </c>
      <c r="AL174" s="20"/>
      <c r="AM174" s="20"/>
      <c r="AN174" s="20"/>
      <c r="AO174" s="20"/>
      <c r="AP174" s="20"/>
      <c r="AR174" s="2" t="s">
        <v>165</v>
      </c>
      <c r="AS174" s="20">
        <v>0</v>
      </c>
      <c r="AT174" s="20">
        <v>0.11</v>
      </c>
      <c r="AU174" s="20">
        <v>0.13</v>
      </c>
      <c r="AV174" s="20">
        <v>0.28999999999999998</v>
      </c>
      <c r="AW174" s="20">
        <v>0</v>
      </c>
      <c r="AX174" s="20">
        <v>0</v>
      </c>
      <c r="AY174" s="20">
        <v>0</v>
      </c>
      <c r="AZ174" s="20">
        <v>0</v>
      </c>
      <c r="BA174" s="20">
        <v>1</v>
      </c>
      <c r="BB174" s="20">
        <v>0</v>
      </c>
      <c r="BC174" s="20">
        <v>0</v>
      </c>
      <c r="BD174" s="20">
        <v>0.04</v>
      </c>
      <c r="BE174" s="20">
        <v>0</v>
      </c>
      <c r="BF174" s="20">
        <v>1</v>
      </c>
      <c r="BG174" s="20"/>
      <c r="BH174" s="20"/>
      <c r="BI174" s="20"/>
      <c r="BJ174" s="20"/>
      <c r="BK174" s="20"/>
      <c r="BM174" s="2" t="s">
        <v>165</v>
      </c>
      <c r="BN174" s="20">
        <v>0.16</v>
      </c>
      <c r="BO174" s="20">
        <v>0</v>
      </c>
      <c r="BP174" s="20">
        <v>0</v>
      </c>
      <c r="BQ174" s="20">
        <v>0.02</v>
      </c>
      <c r="BR174" s="20">
        <v>0</v>
      </c>
      <c r="BS174" s="20">
        <v>0</v>
      </c>
      <c r="BT174" s="20">
        <v>0</v>
      </c>
      <c r="BU174" s="20">
        <v>0</v>
      </c>
      <c r="BV174" s="20">
        <v>1</v>
      </c>
      <c r="BW174" s="20">
        <v>0</v>
      </c>
      <c r="BX174" s="20">
        <v>1</v>
      </c>
      <c r="BY174" s="20">
        <v>1</v>
      </c>
      <c r="BZ174" s="20">
        <v>0</v>
      </c>
      <c r="CA174" s="20">
        <v>1</v>
      </c>
      <c r="CB174" s="20"/>
      <c r="CC174" s="20"/>
      <c r="CD174" s="20"/>
      <c r="CE174" s="20"/>
      <c r="CF174" s="20"/>
      <c r="CH174" s="2" t="s">
        <v>165</v>
      </c>
      <c r="CI174" s="20">
        <v>0</v>
      </c>
      <c r="CJ174" s="20">
        <v>0.21</v>
      </c>
      <c r="CK174" s="20">
        <v>0</v>
      </c>
      <c r="CL174" s="20">
        <v>0.17</v>
      </c>
      <c r="CM174" s="20">
        <v>0</v>
      </c>
      <c r="CN174" s="20">
        <v>0</v>
      </c>
      <c r="CO174" s="20">
        <v>0</v>
      </c>
      <c r="CP174" s="20">
        <v>0</v>
      </c>
      <c r="CQ174" s="20">
        <v>1</v>
      </c>
      <c r="CR174" s="20">
        <v>0</v>
      </c>
      <c r="CS174" s="20">
        <v>0</v>
      </c>
      <c r="CT174" s="20">
        <v>0.22</v>
      </c>
      <c r="CU174" s="20">
        <v>0</v>
      </c>
      <c r="CV174" s="20">
        <v>1</v>
      </c>
      <c r="CW174" s="20"/>
      <c r="CX174" s="20"/>
      <c r="CY174" s="20"/>
      <c r="CZ174" s="20"/>
      <c r="DA174" s="20"/>
      <c r="DC174" s="4" t="s">
        <v>165</v>
      </c>
      <c r="DD174" s="4">
        <v>1E-4</v>
      </c>
      <c r="DE174" s="4">
        <v>1E-4</v>
      </c>
      <c r="DF174" s="4">
        <v>1E-4</v>
      </c>
      <c r="DG174" s="4">
        <v>0</v>
      </c>
      <c r="DH174" s="4">
        <v>1E-4</v>
      </c>
    </row>
    <row r="175" spans="2:112">
      <c r="B175" s="2" t="s">
        <v>166</v>
      </c>
      <c r="C175" s="20">
        <v>0</v>
      </c>
      <c r="D175" s="20">
        <v>0</v>
      </c>
      <c r="E175" s="20">
        <v>0</v>
      </c>
      <c r="F175" s="20">
        <v>0</v>
      </c>
      <c r="G175" s="20">
        <v>0</v>
      </c>
      <c r="H175" s="20">
        <v>0</v>
      </c>
      <c r="I175" s="20">
        <v>0</v>
      </c>
      <c r="J175" s="20">
        <v>0</v>
      </c>
      <c r="K175" s="20">
        <v>0</v>
      </c>
      <c r="L175" s="20">
        <v>0</v>
      </c>
      <c r="M175" s="20">
        <v>0</v>
      </c>
      <c r="N175" s="20">
        <v>0</v>
      </c>
      <c r="O175" s="20">
        <v>0</v>
      </c>
      <c r="P175" s="20">
        <v>0</v>
      </c>
      <c r="Q175" s="20">
        <v>1</v>
      </c>
      <c r="R175" s="20"/>
      <c r="S175" s="20"/>
      <c r="T175" s="20"/>
      <c r="U175" s="20"/>
      <c r="W175" s="2" t="s">
        <v>166</v>
      </c>
      <c r="X175" s="20">
        <v>0</v>
      </c>
      <c r="Y175" s="20">
        <v>0</v>
      </c>
      <c r="Z175" s="20">
        <v>0</v>
      </c>
      <c r="AA175" s="20">
        <v>0</v>
      </c>
      <c r="AB175" s="20">
        <v>0</v>
      </c>
      <c r="AC175" s="20">
        <v>0</v>
      </c>
      <c r="AD175" s="20">
        <v>0</v>
      </c>
      <c r="AE175" s="20">
        <v>0</v>
      </c>
      <c r="AF175" s="20">
        <v>0</v>
      </c>
      <c r="AG175" s="20">
        <v>0</v>
      </c>
      <c r="AH175" s="20">
        <v>0</v>
      </c>
      <c r="AI175" s="20">
        <v>0</v>
      </c>
      <c r="AJ175" s="20">
        <v>0</v>
      </c>
      <c r="AK175" s="20">
        <v>0</v>
      </c>
      <c r="AL175" s="20">
        <v>1</v>
      </c>
      <c r="AM175" s="20"/>
      <c r="AN175" s="20"/>
      <c r="AO175" s="20"/>
      <c r="AP175" s="20"/>
      <c r="AR175" s="2" t="s">
        <v>166</v>
      </c>
      <c r="AS175" s="20">
        <v>0</v>
      </c>
      <c r="AT175" s="20">
        <v>0</v>
      </c>
      <c r="AU175" s="20">
        <v>0</v>
      </c>
      <c r="AV175" s="20">
        <v>0</v>
      </c>
      <c r="AW175" s="20">
        <v>0</v>
      </c>
      <c r="AX175" s="20">
        <v>0</v>
      </c>
      <c r="AY175" s="20">
        <v>0</v>
      </c>
      <c r="AZ175" s="20">
        <v>0</v>
      </c>
      <c r="BA175" s="20">
        <v>0</v>
      </c>
      <c r="BB175" s="20">
        <v>0</v>
      </c>
      <c r="BC175" s="20">
        <v>0</v>
      </c>
      <c r="BD175" s="20">
        <v>0</v>
      </c>
      <c r="BE175" s="20">
        <v>0</v>
      </c>
      <c r="BF175" s="20">
        <v>0</v>
      </c>
      <c r="BG175" s="20">
        <v>1</v>
      </c>
      <c r="BH175" s="20"/>
      <c r="BI175" s="20"/>
      <c r="BJ175" s="20"/>
      <c r="BK175" s="20"/>
      <c r="BM175" s="2" t="s">
        <v>166</v>
      </c>
      <c r="BN175" s="20">
        <v>0</v>
      </c>
      <c r="BO175" s="20">
        <v>0</v>
      </c>
      <c r="BP175" s="20">
        <v>0</v>
      </c>
      <c r="BQ175" s="20">
        <v>0</v>
      </c>
      <c r="BR175" s="20">
        <v>0</v>
      </c>
      <c r="BS175" s="20">
        <v>0</v>
      </c>
      <c r="BT175" s="20">
        <v>0</v>
      </c>
      <c r="BU175" s="20">
        <v>0</v>
      </c>
      <c r="BV175" s="20">
        <v>0</v>
      </c>
      <c r="BW175" s="20">
        <v>0</v>
      </c>
      <c r="BX175" s="20">
        <v>0</v>
      </c>
      <c r="BY175" s="20">
        <v>0</v>
      </c>
      <c r="BZ175" s="20">
        <v>0</v>
      </c>
      <c r="CA175" s="20">
        <v>0</v>
      </c>
      <c r="CB175" s="20">
        <v>1</v>
      </c>
      <c r="CC175" s="20"/>
      <c r="CD175" s="20"/>
      <c r="CE175" s="20"/>
      <c r="CF175" s="20"/>
      <c r="CH175" s="2" t="s">
        <v>166</v>
      </c>
      <c r="CI175" s="20">
        <v>0</v>
      </c>
      <c r="CJ175" s="20">
        <v>0</v>
      </c>
      <c r="CK175" s="20">
        <v>0</v>
      </c>
      <c r="CL175" s="20">
        <v>0</v>
      </c>
      <c r="CM175" s="20">
        <v>0</v>
      </c>
      <c r="CN175" s="20">
        <v>0</v>
      </c>
      <c r="CO175" s="20">
        <v>0</v>
      </c>
      <c r="CP175" s="20">
        <v>0</v>
      </c>
      <c r="CQ175" s="20">
        <v>0</v>
      </c>
      <c r="CR175" s="20">
        <v>0</v>
      </c>
      <c r="CS175" s="20">
        <v>0</v>
      </c>
      <c r="CT175" s="20">
        <v>0</v>
      </c>
      <c r="CU175" s="20">
        <v>0</v>
      </c>
      <c r="CV175" s="20">
        <v>0</v>
      </c>
      <c r="CW175" s="20">
        <v>1</v>
      </c>
      <c r="CX175" s="20"/>
      <c r="CY175" s="20"/>
      <c r="CZ175" s="20"/>
      <c r="DA175" s="20"/>
      <c r="DC175" s="4" t="s">
        <v>166</v>
      </c>
      <c r="DD175" s="4">
        <v>0</v>
      </c>
      <c r="DE175" s="4">
        <v>0</v>
      </c>
      <c r="DF175" s="4">
        <v>0</v>
      </c>
      <c r="DG175" s="4">
        <v>0</v>
      </c>
      <c r="DH175" s="4">
        <v>0</v>
      </c>
    </row>
    <row r="176" spans="2:112">
      <c r="B176" s="2" t="s">
        <v>167</v>
      </c>
      <c r="C176" s="20">
        <v>0</v>
      </c>
      <c r="D176" s="20">
        <v>0.97</v>
      </c>
      <c r="E176" s="20">
        <v>0.43</v>
      </c>
      <c r="F176" s="20">
        <v>0</v>
      </c>
      <c r="G176" s="20">
        <v>0</v>
      </c>
      <c r="H176" s="20">
        <v>0</v>
      </c>
      <c r="I176" s="20">
        <v>0</v>
      </c>
      <c r="J176" s="20">
        <v>0</v>
      </c>
      <c r="K176" s="20">
        <v>1</v>
      </c>
      <c r="L176" s="20">
        <v>0.34</v>
      </c>
      <c r="M176" s="20">
        <v>0.19</v>
      </c>
      <c r="N176" s="20">
        <v>1</v>
      </c>
      <c r="O176" s="20">
        <v>0</v>
      </c>
      <c r="P176" s="20">
        <v>1</v>
      </c>
      <c r="Q176" s="20">
        <v>0</v>
      </c>
      <c r="R176" s="20">
        <v>1</v>
      </c>
      <c r="S176" s="20"/>
      <c r="T176" s="20"/>
      <c r="U176" s="20"/>
      <c r="W176" s="2" t="s">
        <v>167</v>
      </c>
      <c r="X176" s="20">
        <v>0</v>
      </c>
      <c r="Y176" s="20">
        <v>0</v>
      </c>
      <c r="Z176" s="20">
        <v>0.01</v>
      </c>
      <c r="AA176" s="20">
        <v>0.01</v>
      </c>
      <c r="AB176" s="20">
        <v>0</v>
      </c>
      <c r="AC176" s="20">
        <v>0</v>
      </c>
      <c r="AD176" s="20">
        <v>0</v>
      </c>
      <c r="AE176" s="20">
        <v>0</v>
      </c>
      <c r="AF176" s="20">
        <v>1</v>
      </c>
      <c r="AG176" s="20">
        <v>0</v>
      </c>
      <c r="AH176" s="20">
        <v>0</v>
      </c>
      <c r="AI176" s="20">
        <v>0.01</v>
      </c>
      <c r="AJ176" s="20">
        <v>0</v>
      </c>
      <c r="AK176" s="20">
        <v>0.79</v>
      </c>
      <c r="AL176" s="20">
        <v>0</v>
      </c>
      <c r="AM176" s="20">
        <v>1</v>
      </c>
      <c r="AN176" s="20"/>
      <c r="AO176" s="20"/>
      <c r="AP176" s="20"/>
      <c r="AR176" s="2" t="s">
        <v>167</v>
      </c>
      <c r="AS176" s="20">
        <v>0</v>
      </c>
      <c r="AT176" s="20">
        <v>0.33</v>
      </c>
      <c r="AU176" s="20">
        <v>0.47</v>
      </c>
      <c r="AV176" s="20">
        <v>0</v>
      </c>
      <c r="AW176" s="20">
        <v>0</v>
      </c>
      <c r="AX176" s="20">
        <v>0</v>
      </c>
      <c r="AY176" s="20">
        <v>0</v>
      </c>
      <c r="AZ176" s="20">
        <v>0</v>
      </c>
      <c r="BA176" s="20">
        <v>1</v>
      </c>
      <c r="BB176" s="20">
        <v>0.06</v>
      </c>
      <c r="BC176" s="20">
        <v>0</v>
      </c>
      <c r="BD176" s="20">
        <v>0.28000000000000003</v>
      </c>
      <c r="BE176" s="20">
        <v>0</v>
      </c>
      <c r="BF176" s="20">
        <v>1</v>
      </c>
      <c r="BG176" s="20">
        <v>0</v>
      </c>
      <c r="BH176" s="20">
        <v>1</v>
      </c>
      <c r="BI176" s="20"/>
      <c r="BJ176" s="20"/>
      <c r="BK176" s="20"/>
      <c r="BM176" s="2" t="s">
        <v>167</v>
      </c>
      <c r="BN176" s="20">
        <v>0</v>
      </c>
      <c r="BO176" s="20">
        <v>0.95</v>
      </c>
      <c r="BP176" s="20">
        <v>1</v>
      </c>
      <c r="BQ176" s="20">
        <v>1</v>
      </c>
      <c r="BR176" s="20">
        <v>0</v>
      </c>
      <c r="BS176" s="20">
        <v>0</v>
      </c>
      <c r="BT176" s="20">
        <v>0</v>
      </c>
      <c r="BU176" s="20">
        <v>7.0000000000000007E-2</v>
      </c>
      <c r="BV176" s="20">
        <v>1</v>
      </c>
      <c r="BW176" s="20">
        <v>0</v>
      </c>
      <c r="BX176" s="20">
        <v>0.52</v>
      </c>
      <c r="BY176" s="20">
        <v>0.44</v>
      </c>
      <c r="BZ176" s="20">
        <v>0</v>
      </c>
      <c r="CA176" s="20">
        <v>1</v>
      </c>
      <c r="CB176" s="20">
        <v>0</v>
      </c>
      <c r="CC176" s="20">
        <v>1</v>
      </c>
      <c r="CD176" s="20"/>
      <c r="CE176" s="20"/>
      <c r="CF176" s="20"/>
      <c r="CH176" s="2" t="s">
        <v>167</v>
      </c>
      <c r="CI176" s="20">
        <v>0</v>
      </c>
      <c r="CJ176" s="20">
        <v>0.97</v>
      </c>
      <c r="CK176" s="20">
        <v>0.43</v>
      </c>
      <c r="CL176" s="20">
        <v>0</v>
      </c>
      <c r="CM176" s="20">
        <v>0</v>
      </c>
      <c r="CN176" s="20">
        <v>0</v>
      </c>
      <c r="CO176" s="20">
        <v>0</v>
      </c>
      <c r="CP176" s="20">
        <v>0</v>
      </c>
      <c r="CQ176" s="20">
        <v>1</v>
      </c>
      <c r="CR176" s="20">
        <v>0.34</v>
      </c>
      <c r="CS176" s="20">
        <v>0.19</v>
      </c>
      <c r="CT176" s="20">
        <v>1</v>
      </c>
      <c r="CU176" s="20">
        <v>0</v>
      </c>
      <c r="CV176" s="20">
        <v>1</v>
      </c>
      <c r="CW176" s="20">
        <v>0</v>
      </c>
      <c r="CX176" s="20">
        <v>1</v>
      </c>
      <c r="CY176" s="20"/>
      <c r="CZ176" s="20"/>
      <c r="DA176" s="20"/>
      <c r="DC176" s="4" t="s">
        <v>167</v>
      </c>
      <c r="DD176" s="4">
        <v>0</v>
      </c>
      <c r="DE176" s="4">
        <v>0</v>
      </c>
      <c r="DF176" s="4">
        <v>0</v>
      </c>
      <c r="DG176" s="4">
        <v>0</v>
      </c>
      <c r="DH176" s="4">
        <v>0</v>
      </c>
    </row>
    <row r="177" spans="1:112">
      <c r="B177" s="2" t="s">
        <v>168</v>
      </c>
      <c r="C177" s="20">
        <v>0.69</v>
      </c>
      <c r="D177" s="20">
        <v>0.02</v>
      </c>
      <c r="E177" s="20">
        <v>0.13</v>
      </c>
      <c r="F177" s="20">
        <v>0.38</v>
      </c>
      <c r="G177" s="20">
        <v>0.73</v>
      </c>
      <c r="H177" s="20">
        <v>0.75</v>
      </c>
      <c r="I177" s="20">
        <v>0.4</v>
      </c>
      <c r="J177" s="20">
        <v>0</v>
      </c>
      <c r="K177" s="20">
        <v>1</v>
      </c>
      <c r="L177" s="20">
        <v>0</v>
      </c>
      <c r="M177" s="20">
        <v>0.12</v>
      </c>
      <c r="N177" s="20">
        <v>0.04</v>
      </c>
      <c r="O177" s="20">
        <v>0</v>
      </c>
      <c r="P177" s="20">
        <v>0</v>
      </c>
      <c r="Q177" s="20">
        <v>0</v>
      </c>
      <c r="R177" s="20">
        <v>0</v>
      </c>
      <c r="S177" s="20">
        <v>1</v>
      </c>
      <c r="T177" s="20"/>
      <c r="U177" s="20"/>
      <c r="W177" s="2" t="s">
        <v>168</v>
      </c>
      <c r="X177" s="20">
        <v>0.53</v>
      </c>
      <c r="Y177" s="20">
        <v>0.24</v>
      </c>
      <c r="Z177" s="20">
        <v>0.18</v>
      </c>
      <c r="AA177" s="20">
        <v>0.26</v>
      </c>
      <c r="AB177" s="20">
        <v>0.64</v>
      </c>
      <c r="AC177" s="20">
        <v>0.73</v>
      </c>
      <c r="AD177" s="20">
        <v>0.42</v>
      </c>
      <c r="AE177" s="20">
        <v>0</v>
      </c>
      <c r="AF177" s="20">
        <v>1</v>
      </c>
      <c r="AG177" s="20">
        <v>0</v>
      </c>
      <c r="AH177" s="20">
        <v>0.15</v>
      </c>
      <c r="AI177" s="20">
        <v>0</v>
      </c>
      <c r="AJ177" s="20">
        <v>0</v>
      </c>
      <c r="AK177" s="20">
        <v>0</v>
      </c>
      <c r="AL177" s="20">
        <v>0</v>
      </c>
      <c r="AM177" s="20">
        <v>0</v>
      </c>
      <c r="AN177" s="20">
        <v>1</v>
      </c>
      <c r="AO177" s="20"/>
      <c r="AP177" s="20"/>
      <c r="AR177" s="2" t="s">
        <v>168</v>
      </c>
      <c r="AS177" s="20">
        <v>0.68</v>
      </c>
      <c r="AT177" s="20">
        <v>0.05</v>
      </c>
      <c r="AU177" s="20">
        <v>0</v>
      </c>
      <c r="AV177" s="20">
        <v>0.35</v>
      </c>
      <c r="AW177" s="20">
        <v>0.65</v>
      </c>
      <c r="AX177" s="20">
        <v>0.78</v>
      </c>
      <c r="AY177" s="20">
        <v>0.44</v>
      </c>
      <c r="AZ177" s="20">
        <v>0</v>
      </c>
      <c r="BA177" s="20">
        <v>1</v>
      </c>
      <c r="BB177" s="20">
        <v>0</v>
      </c>
      <c r="BC177" s="20">
        <v>0.14000000000000001</v>
      </c>
      <c r="BD177" s="20">
        <v>0</v>
      </c>
      <c r="BE177" s="20">
        <v>0</v>
      </c>
      <c r="BF177" s="20">
        <v>0</v>
      </c>
      <c r="BG177" s="20">
        <v>0</v>
      </c>
      <c r="BH177" s="20">
        <v>0</v>
      </c>
      <c r="BI177" s="20">
        <v>1</v>
      </c>
      <c r="BJ177" s="20"/>
      <c r="BK177" s="20"/>
      <c r="BM177" s="2" t="s">
        <v>168</v>
      </c>
      <c r="BN177" s="20">
        <v>0.65</v>
      </c>
      <c r="BO177" s="20">
        <v>0.24</v>
      </c>
      <c r="BP177" s="20">
        <v>0</v>
      </c>
      <c r="BQ177" s="20">
        <v>0.13</v>
      </c>
      <c r="BR177" s="20">
        <v>0.71</v>
      </c>
      <c r="BS177" s="20">
        <v>0.67</v>
      </c>
      <c r="BT177" s="20">
        <v>0.48</v>
      </c>
      <c r="BU177" s="20">
        <v>0.01</v>
      </c>
      <c r="BV177" s="20">
        <v>0</v>
      </c>
      <c r="BW177" s="20">
        <v>0</v>
      </c>
      <c r="BX177" s="20">
        <v>0</v>
      </c>
      <c r="BY177" s="20">
        <v>0</v>
      </c>
      <c r="BZ177" s="20">
        <v>0</v>
      </c>
      <c r="CA177" s="20">
        <v>0</v>
      </c>
      <c r="CB177" s="20">
        <v>0</v>
      </c>
      <c r="CC177" s="20">
        <v>0</v>
      </c>
      <c r="CD177" s="20">
        <v>1</v>
      </c>
      <c r="CE177" s="20"/>
      <c r="CF177" s="20"/>
      <c r="CH177" s="2" t="s">
        <v>168</v>
      </c>
      <c r="CI177" s="20">
        <v>0.69</v>
      </c>
      <c r="CJ177" s="20">
        <v>0.02</v>
      </c>
      <c r="CK177" s="20">
        <v>0.13</v>
      </c>
      <c r="CL177" s="20">
        <v>0.38</v>
      </c>
      <c r="CM177" s="20">
        <v>0.73</v>
      </c>
      <c r="CN177" s="20">
        <v>0.75</v>
      </c>
      <c r="CO177" s="20">
        <v>0.4</v>
      </c>
      <c r="CP177" s="20">
        <v>0</v>
      </c>
      <c r="CQ177" s="20">
        <v>1</v>
      </c>
      <c r="CR177" s="20">
        <v>0</v>
      </c>
      <c r="CS177" s="20">
        <v>0.12</v>
      </c>
      <c r="CT177" s="20">
        <v>0.04</v>
      </c>
      <c r="CU177" s="20">
        <v>0</v>
      </c>
      <c r="CV177" s="20">
        <v>0</v>
      </c>
      <c r="CW177" s="20">
        <v>0</v>
      </c>
      <c r="CX177" s="20">
        <v>0</v>
      </c>
      <c r="CY177" s="20">
        <v>1</v>
      </c>
      <c r="CZ177" s="20"/>
      <c r="DA177" s="20"/>
      <c r="DC177" s="4" t="s">
        <v>168</v>
      </c>
      <c r="DD177" s="4">
        <v>1.3281000000000001</v>
      </c>
      <c r="DE177" s="4">
        <v>1.5491999999999999</v>
      </c>
      <c r="DF177" s="4">
        <v>1.4805999999999999</v>
      </c>
      <c r="DG177" s="4">
        <v>0.95150000000000001</v>
      </c>
      <c r="DH177" s="4">
        <v>1.4081999999999999</v>
      </c>
    </row>
    <row r="178" spans="1:112">
      <c r="B178" s="2" t="s">
        <v>169</v>
      </c>
      <c r="C178" s="20">
        <v>0.28000000000000003</v>
      </c>
      <c r="D178" s="20">
        <v>0.33</v>
      </c>
      <c r="E178" s="20">
        <v>0.48</v>
      </c>
      <c r="F178" s="20">
        <v>0.26</v>
      </c>
      <c r="G178" s="20">
        <v>0.73</v>
      </c>
      <c r="H178" s="20">
        <v>0.11</v>
      </c>
      <c r="I178" s="20">
        <v>0.11</v>
      </c>
      <c r="J178" s="20">
        <v>0</v>
      </c>
      <c r="K178" s="20">
        <v>1</v>
      </c>
      <c r="L178" s="20">
        <v>0.24</v>
      </c>
      <c r="M178" s="20">
        <v>0.35</v>
      </c>
      <c r="N178" s="20">
        <v>0.4</v>
      </c>
      <c r="O178" s="20">
        <v>0</v>
      </c>
      <c r="P178" s="20">
        <v>0.21</v>
      </c>
      <c r="Q178" s="20">
        <v>0</v>
      </c>
      <c r="R178" s="20">
        <v>0.65</v>
      </c>
      <c r="S178" s="20">
        <v>0.18</v>
      </c>
      <c r="T178" s="20">
        <v>1</v>
      </c>
      <c r="U178" s="20"/>
      <c r="W178" s="2" t="s">
        <v>169</v>
      </c>
      <c r="X178" s="20">
        <v>0.23</v>
      </c>
      <c r="Y178" s="20">
        <v>0.28000000000000003</v>
      </c>
      <c r="Z178" s="20">
        <v>0.37</v>
      </c>
      <c r="AA178" s="20">
        <v>0</v>
      </c>
      <c r="AB178" s="20">
        <v>0.51</v>
      </c>
      <c r="AC178" s="20">
        <v>0.32</v>
      </c>
      <c r="AD178" s="20">
        <v>0.22</v>
      </c>
      <c r="AE178" s="20">
        <v>0.19</v>
      </c>
      <c r="AF178" s="20">
        <v>1</v>
      </c>
      <c r="AG178" s="20">
        <v>0</v>
      </c>
      <c r="AH178" s="20">
        <v>0.33</v>
      </c>
      <c r="AI178" s="20">
        <v>0</v>
      </c>
      <c r="AJ178" s="20">
        <v>0</v>
      </c>
      <c r="AK178" s="20">
        <v>0</v>
      </c>
      <c r="AL178" s="20">
        <v>0</v>
      </c>
      <c r="AM178" s="20">
        <v>0</v>
      </c>
      <c r="AN178" s="20">
        <v>0.33</v>
      </c>
      <c r="AO178" s="20">
        <v>1</v>
      </c>
      <c r="AP178" s="20"/>
      <c r="AR178" s="2" t="s">
        <v>169</v>
      </c>
      <c r="AS178" s="20">
        <v>0.34</v>
      </c>
      <c r="AT178" s="20">
        <v>0.03</v>
      </c>
      <c r="AU178" s="20">
        <v>0</v>
      </c>
      <c r="AV178" s="20">
        <v>0</v>
      </c>
      <c r="AW178" s="20">
        <v>0.59</v>
      </c>
      <c r="AX178" s="20">
        <v>0.34</v>
      </c>
      <c r="AY178" s="20">
        <v>0.31</v>
      </c>
      <c r="AZ178" s="20">
        <v>0.27</v>
      </c>
      <c r="BA178" s="20">
        <v>1</v>
      </c>
      <c r="BB178" s="20">
        <v>0</v>
      </c>
      <c r="BC178" s="20">
        <v>0.21</v>
      </c>
      <c r="BD178" s="20">
        <v>0.02</v>
      </c>
      <c r="BE178" s="20">
        <v>0</v>
      </c>
      <c r="BF178" s="20">
        <v>0</v>
      </c>
      <c r="BG178" s="20">
        <v>0</v>
      </c>
      <c r="BH178" s="20">
        <v>0</v>
      </c>
      <c r="BI178" s="20">
        <v>0.28999999999999998</v>
      </c>
      <c r="BJ178" s="20">
        <v>1</v>
      </c>
      <c r="BK178" s="20"/>
      <c r="BM178" s="2" t="s">
        <v>169</v>
      </c>
      <c r="BN178" s="20">
        <v>0.38</v>
      </c>
      <c r="BO178" s="20">
        <v>0</v>
      </c>
      <c r="BP178" s="20">
        <v>0</v>
      </c>
      <c r="BQ178" s="20">
        <v>0</v>
      </c>
      <c r="BR178" s="20">
        <v>0.67</v>
      </c>
      <c r="BS178" s="20">
        <v>0.53</v>
      </c>
      <c r="BT178" s="20">
        <v>0.52</v>
      </c>
      <c r="BU178" s="20">
        <v>0</v>
      </c>
      <c r="BV178" s="20">
        <v>0</v>
      </c>
      <c r="BW178" s="20">
        <v>0</v>
      </c>
      <c r="BX178" s="20">
        <v>0</v>
      </c>
      <c r="BY178" s="20">
        <v>0</v>
      </c>
      <c r="BZ178" s="20">
        <v>0</v>
      </c>
      <c r="CA178" s="20">
        <v>0</v>
      </c>
      <c r="CB178" s="20">
        <v>0</v>
      </c>
      <c r="CC178" s="20">
        <v>0</v>
      </c>
      <c r="CD178" s="20">
        <v>0.92</v>
      </c>
      <c r="CE178" s="20">
        <v>1</v>
      </c>
      <c r="CF178" s="20"/>
      <c r="CH178" s="2" t="s">
        <v>169</v>
      </c>
      <c r="CI178" s="20">
        <v>0.28000000000000003</v>
      </c>
      <c r="CJ178" s="20">
        <v>0.33</v>
      </c>
      <c r="CK178" s="20">
        <v>0.48</v>
      </c>
      <c r="CL178" s="20">
        <v>0.26</v>
      </c>
      <c r="CM178" s="20">
        <v>0.73</v>
      </c>
      <c r="CN178" s="20">
        <v>0.11</v>
      </c>
      <c r="CO178" s="20">
        <v>0.11</v>
      </c>
      <c r="CP178" s="20">
        <v>0</v>
      </c>
      <c r="CQ178" s="20">
        <v>1</v>
      </c>
      <c r="CR178" s="20">
        <v>0.24</v>
      </c>
      <c r="CS178" s="20">
        <v>0.35</v>
      </c>
      <c r="CT178" s="20">
        <v>0.4</v>
      </c>
      <c r="CU178" s="20">
        <v>0</v>
      </c>
      <c r="CV178" s="20">
        <v>0.21</v>
      </c>
      <c r="CW178" s="20">
        <v>0</v>
      </c>
      <c r="CX178" s="20">
        <v>0.65</v>
      </c>
      <c r="CY178" s="20">
        <v>0.18</v>
      </c>
      <c r="CZ178" s="20">
        <v>1</v>
      </c>
      <c r="DA178" s="20"/>
      <c r="DC178" s="4" t="s">
        <v>169</v>
      </c>
      <c r="DD178" s="4">
        <v>0.19650000000000001</v>
      </c>
      <c r="DE178" s="4">
        <v>0.1179</v>
      </c>
      <c r="DF178" s="4">
        <v>0.16969999999999999</v>
      </c>
      <c r="DG178" s="4">
        <v>7.6600000000000001E-2</v>
      </c>
      <c r="DH178" s="4">
        <v>0.20830000000000001</v>
      </c>
    </row>
    <row r="179" spans="1:112">
      <c r="B179" s="2" t="s">
        <v>170</v>
      </c>
      <c r="C179" s="21">
        <v>0.42</v>
      </c>
      <c r="D179" s="21">
        <v>0</v>
      </c>
      <c r="E179" s="21">
        <v>0.27</v>
      </c>
      <c r="F179" s="21">
        <v>0.06</v>
      </c>
      <c r="G179" s="21">
        <v>0.67</v>
      </c>
      <c r="H179" s="21">
        <v>0.5</v>
      </c>
      <c r="I179" s="21">
        <v>0.42</v>
      </c>
      <c r="J179" s="21">
        <v>0.02</v>
      </c>
      <c r="K179" s="21">
        <v>1</v>
      </c>
      <c r="L179" s="21">
        <v>0</v>
      </c>
      <c r="M179" s="21">
        <v>0.14000000000000001</v>
      </c>
      <c r="N179" s="21">
        <v>0.12</v>
      </c>
      <c r="O179" s="21">
        <v>0</v>
      </c>
      <c r="P179" s="21">
        <v>0</v>
      </c>
      <c r="Q179" s="21">
        <v>0</v>
      </c>
      <c r="R179" s="21">
        <v>0</v>
      </c>
      <c r="S179" s="21">
        <v>0.23</v>
      </c>
      <c r="T179" s="21">
        <v>0.4</v>
      </c>
      <c r="U179" s="21">
        <v>1</v>
      </c>
      <c r="W179" s="2" t="s">
        <v>170</v>
      </c>
      <c r="X179" s="21">
        <v>0.38</v>
      </c>
      <c r="Y179" s="21">
        <v>0</v>
      </c>
      <c r="Z179" s="21">
        <v>0.02</v>
      </c>
      <c r="AA179" s="21">
        <v>0.05</v>
      </c>
      <c r="AB179" s="21">
        <v>0.63</v>
      </c>
      <c r="AC179" s="21">
        <v>0.37</v>
      </c>
      <c r="AD179" s="21">
        <v>0.45</v>
      </c>
      <c r="AE179" s="21">
        <v>0.27</v>
      </c>
      <c r="AF179" s="21">
        <v>0</v>
      </c>
      <c r="AG179" s="21">
        <v>0</v>
      </c>
      <c r="AH179" s="21">
        <v>0</v>
      </c>
      <c r="AI179" s="21">
        <v>0</v>
      </c>
      <c r="AJ179" s="21">
        <v>0</v>
      </c>
      <c r="AK179" s="21">
        <v>0</v>
      </c>
      <c r="AL179" s="21">
        <v>0</v>
      </c>
      <c r="AM179" s="21">
        <v>0</v>
      </c>
      <c r="AN179" s="21">
        <v>0.17</v>
      </c>
      <c r="AO179" s="21">
        <v>0.12</v>
      </c>
      <c r="AP179" s="21">
        <v>1</v>
      </c>
      <c r="AR179" s="2" t="s">
        <v>170</v>
      </c>
      <c r="AS179" s="21">
        <v>0.43</v>
      </c>
      <c r="AT179" s="21">
        <v>0</v>
      </c>
      <c r="AU179" s="21">
        <v>0.3</v>
      </c>
      <c r="AV179" s="21">
        <v>0</v>
      </c>
      <c r="AW179" s="21">
        <v>0.54</v>
      </c>
      <c r="AX179" s="21">
        <v>0.41</v>
      </c>
      <c r="AY179" s="21">
        <v>0.47</v>
      </c>
      <c r="AZ179" s="21">
        <v>0.24</v>
      </c>
      <c r="BA179" s="21">
        <v>1</v>
      </c>
      <c r="BB179" s="21">
        <v>0</v>
      </c>
      <c r="BC179" s="21">
        <v>0.06</v>
      </c>
      <c r="BD179" s="21">
        <v>0</v>
      </c>
      <c r="BE179" s="21">
        <v>0</v>
      </c>
      <c r="BF179" s="21">
        <v>0</v>
      </c>
      <c r="BG179" s="21">
        <v>0</v>
      </c>
      <c r="BH179" s="21">
        <v>0</v>
      </c>
      <c r="BI179" s="21">
        <v>0.3</v>
      </c>
      <c r="BJ179" s="21">
        <v>0.6</v>
      </c>
      <c r="BK179" s="21">
        <v>1</v>
      </c>
      <c r="BM179" s="2" t="s">
        <v>170</v>
      </c>
      <c r="BN179" s="21">
        <v>0.22</v>
      </c>
      <c r="BO179" s="21">
        <v>0</v>
      </c>
      <c r="BP179" s="21">
        <v>0</v>
      </c>
      <c r="BQ179" s="21">
        <v>0</v>
      </c>
      <c r="BR179" s="21">
        <v>0.48</v>
      </c>
      <c r="BS179" s="21">
        <v>0.4</v>
      </c>
      <c r="BT179" s="21">
        <v>0.41</v>
      </c>
      <c r="BU179" s="21">
        <v>0</v>
      </c>
      <c r="BV179" s="21">
        <v>0</v>
      </c>
      <c r="BW179" s="21">
        <v>0</v>
      </c>
      <c r="BX179" s="21">
        <v>0</v>
      </c>
      <c r="BY179" s="21">
        <v>0</v>
      </c>
      <c r="BZ179" s="21">
        <v>0</v>
      </c>
      <c r="CA179" s="21">
        <v>0</v>
      </c>
      <c r="CB179" s="21">
        <v>0</v>
      </c>
      <c r="CC179" s="21">
        <v>0</v>
      </c>
      <c r="CD179" s="21">
        <v>0.39</v>
      </c>
      <c r="CE179" s="21">
        <v>1</v>
      </c>
      <c r="CF179" s="21">
        <v>1</v>
      </c>
      <c r="CH179" s="2" t="s">
        <v>170</v>
      </c>
      <c r="CI179" s="21">
        <v>0.42</v>
      </c>
      <c r="CJ179" s="21">
        <v>0</v>
      </c>
      <c r="CK179" s="21">
        <v>0.27</v>
      </c>
      <c r="CL179" s="21">
        <v>0.06</v>
      </c>
      <c r="CM179" s="21">
        <v>0.67</v>
      </c>
      <c r="CN179" s="21">
        <v>0.5</v>
      </c>
      <c r="CO179" s="21">
        <v>0.42</v>
      </c>
      <c r="CP179" s="21">
        <v>0.02</v>
      </c>
      <c r="CQ179" s="21">
        <v>1</v>
      </c>
      <c r="CR179" s="21">
        <v>0</v>
      </c>
      <c r="CS179" s="21">
        <v>0.14000000000000001</v>
      </c>
      <c r="CT179" s="21">
        <v>0.12</v>
      </c>
      <c r="CU179" s="21">
        <v>0</v>
      </c>
      <c r="CV179" s="21">
        <v>0</v>
      </c>
      <c r="CW179" s="21">
        <v>0</v>
      </c>
      <c r="CX179" s="21">
        <v>0</v>
      </c>
      <c r="CY179" s="21">
        <v>0.23</v>
      </c>
      <c r="CZ179" s="21">
        <v>0.4</v>
      </c>
      <c r="DA179" s="21">
        <v>1</v>
      </c>
      <c r="DC179" s="7" t="s">
        <v>170</v>
      </c>
      <c r="DD179" s="7">
        <v>0.84260000000000002</v>
      </c>
      <c r="DE179" s="7">
        <v>1.1819</v>
      </c>
      <c r="DF179" s="7">
        <v>0.96760000000000002</v>
      </c>
      <c r="DG179" s="7">
        <v>0.66459999999999997</v>
      </c>
      <c r="DH179" s="7">
        <v>0.89349999999999996</v>
      </c>
    </row>
    <row r="182" spans="1:112" s="28" customFormat="1">
      <c r="A182" s="27" t="s">
        <v>175</v>
      </c>
    </row>
    <row r="184" spans="1:112">
      <c r="B184" s="14" t="s">
        <v>148</v>
      </c>
      <c r="W184" s="14" t="s">
        <v>173</v>
      </c>
    </row>
    <row r="186" spans="1:112">
      <c r="C186" s="1" t="s">
        <v>152</v>
      </c>
      <c r="D186" s="1" t="s">
        <v>153</v>
      </c>
      <c r="E186" s="1" t="s">
        <v>154</v>
      </c>
      <c r="F186" s="1" t="s">
        <v>155</v>
      </c>
      <c r="G186" s="1" t="s">
        <v>156</v>
      </c>
      <c r="H186" s="1" t="s">
        <v>157</v>
      </c>
      <c r="I186" s="1" t="s">
        <v>158</v>
      </c>
      <c r="J186" s="1" t="s">
        <v>159</v>
      </c>
      <c r="K186" s="1" t="s">
        <v>160</v>
      </c>
      <c r="L186" s="1" t="s">
        <v>161</v>
      </c>
      <c r="M186" s="1" t="s">
        <v>162</v>
      </c>
      <c r="N186" s="1" t="s">
        <v>163</v>
      </c>
      <c r="O186" s="1" t="s">
        <v>164</v>
      </c>
      <c r="P186" s="1" t="s">
        <v>165</v>
      </c>
      <c r="Q186" s="1" t="s">
        <v>166</v>
      </c>
      <c r="R186" s="1" t="s">
        <v>167</v>
      </c>
      <c r="S186" s="1" t="s">
        <v>168</v>
      </c>
      <c r="T186" s="1" t="s">
        <v>169</v>
      </c>
      <c r="U186" s="1" t="s">
        <v>170</v>
      </c>
      <c r="W186" s="1" t="s">
        <v>174</v>
      </c>
      <c r="X186" s="1" t="s">
        <v>176</v>
      </c>
      <c r="Y186" s="1" t="s">
        <v>147</v>
      </c>
    </row>
    <row r="187" spans="1:112">
      <c r="B187" s="2" t="s">
        <v>152</v>
      </c>
      <c r="C187" s="19">
        <v>1</v>
      </c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W187" s="3" t="s">
        <v>152</v>
      </c>
      <c r="X187" s="3">
        <v>0.376</v>
      </c>
      <c r="Y187" s="3">
        <v>1.88</v>
      </c>
    </row>
    <row r="188" spans="1:112">
      <c r="B188" s="2" t="s">
        <v>153</v>
      </c>
      <c r="C188" s="20">
        <v>0</v>
      </c>
      <c r="D188" s="20">
        <v>1</v>
      </c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W188" s="4" t="s">
        <v>153</v>
      </c>
      <c r="X188" s="4">
        <v>0.20599999999999999</v>
      </c>
      <c r="Y188" s="4">
        <v>1.03</v>
      </c>
    </row>
    <row r="189" spans="1:112">
      <c r="B189" s="2" t="s">
        <v>154</v>
      </c>
      <c r="C189" s="20">
        <v>0</v>
      </c>
      <c r="D189" s="20">
        <v>0</v>
      </c>
      <c r="E189" s="20">
        <v>1</v>
      </c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W189" s="4" t="s">
        <v>154</v>
      </c>
      <c r="X189" s="4">
        <v>0.42799999999999999</v>
      </c>
      <c r="Y189" s="4">
        <v>2.14</v>
      </c>
    </row>
    <row r="190" spans="1:112">
      <c r="B190" s="2" t="s">
        <v>155</v>
      </c>
      <c r="C190" s="20">
        <v>0</v>
      </c>
      <c r="D190" s="20">
        <v>0</v>
      </c>
      <c r="E190" s="20">
        <v>0</v>
      </c>
      <c r="F190" s="20">
        <v>1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W190" s="4" t="s">
        <v>155</v>
      </c>
      <c r="X190" s="4">
        <v>0.502</v>
      </c>
      <c r="Y190" s="4">
        <v>2.5099999999999998</v>
      </c>
    </row>
    <row r="191" spans="1:112">
      <c r="B191" s="2" t="s">
        <v>156</v>
      </c>
      <c r="C191" s="20">
        <v>0.25</v>
      </c>
      <c r="D191" s="20">
        <v>0</v>
      </c>
      <c r="E191" s="20">
        <v>0</v>
      </c>
      <c r="F191" s="20">
        <v>0</v>
      </c>
      <c r="G191" s="20">
        <v>1</v>
      </c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W191" s="4" t="s">
        <v>156</v>
      </c>
      <c r="X191" s="4">
        <v>0.98</v>
      </c>
      <c r="Y191" s="4">
        <v>4.9000000000000004</v>
      </c>
    </row>
    <row r="192" spans="1:112">
      <c r="B192" s="2" t="s">
        <v>157</v>
      </c>
      <c r="C192" s="20">
        <v>0.25</v>
      </c>
      <c r="D192" s="20">
        <v>0</v>
      </c>
      <c r="E192" s="20">
        <v>0</v>
      </c>
      <c r="F192" s="20">
        <v>0</v>
      </c>
      <c r="G192" s="20">
        <v>0.25</v>
      </c>
      <c r="H192" s="20">
        <v>1</v>
      </c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W192" s="4" t="s">
        <v>157</v>
      </c>
      <c r="X192" s="4">
        <v>0.94</v>
      </c>
      <c r="Y192" s="4">
        <v>4.7</v>
      </c>
    </row>
    <row r="193" spans="1:25">
      <c r="B193" s="2" t="s">
        <v>158</v>
      </c>
      <c r="C193" s="20">
        <v>0.25</v>
      </c>
      <c r="D193" s="20">
        <v>0</v>
      </c>
      <c r="E193" s="20">
        <v>0</v>
      </c>
      <c r="F193" s="20">
        <v>0</v>
      </c>
      <c r="G193" s="20">
        <v>0.25</v>
      </c>
      <c r="H193" s="20">
        <v>0.25</v>
      </c>
      <c r="I193" s="20">
        <v>1</v>
      </c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W193" s="4" t="s">
        <v>158</v>
      </c>
      <c r="X193" s="4">
        <v>0.98</v>
      </c>
      <c r="Y193" s="4">
        <v>4.9000000000000004</v>
      </c>
    </row>
    <row r="194" spans="1:25">
      <c r="B194" s="2" t="s">
        <v>159</v>
      </c>
      <c r="C194" s="20">
        <v>0</v>
      </c>
      <c r="D194" s="20">
        <v>0</v>
      </c>
      <c r="E194" s="20">
        <v>0</v>
      </c>
      <c r="F194" s="20">
        <v>0</v>
      </c>
      <c r="G194" s="20">
        <v>0</v>
      </c>
      <c r="H194" s="20">
        <v>0</v>
      </c>
      <c r="I194" s="20">
        <v>0</v>
      </c>
      <c r="J194" s="20">
        <v>1</v>
      </c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W194" s="4" t="s">
        <v>159</v>
      </c>
      <c r="X194" s="4">
        <v>0.01</v>
      </c>
      <c r="Y194" s="4">
        <v>0.05</v>
      </c>
    </row>
    <row r="195" spans="1:25">
      <c r="B195" s="2" t="s">
        <v>160</v>
      </c>
      <c r="C195" s="20">
        <v>0</v>
      </c>
      <c r="D195" s="20">
        <v>0</v>
      </c>
      <c r="E195" s="20">
        <v>0</v>
      </c>
      <c r="F195" s="20">
        <v>0</v>
      </c>
      <c r="G195" s="20">
        <v>0</v>
      </c>
      <c r="H195" s="20">
        <v>0</v>
      </c>
      <c r="I195" s="20">
        <v>0</v>
      </c>
      <c r="J195" s="20">
        <v>0</v>
      </c>
      <c r="K195" s="20">
        <v>1</v>
      </c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W195" s="4" t="s">
        <v>160</v>
      </c>
      <c r="X195" s="4">
        <v>6.4000000000000001E-2</v>
      </c>
      <c r="Y195" s="4">
        <v>0.32</v>
      </c>
    </row>
    <row r="196" spans="1:25">
      <c r="B196" s="2" t="s">
        <v>161</v>
      </c>
      <c r="C196" s="20">
        <v>0</v>
      </c>
      <c r="D196" s="20">
        <v>0</v>
      </c>
      <c r="E196" s="20">
        <v>0</v>
      </c>
      <c r="F196" s="20">
        <v>0</v>
      </c>
      <c r="G196" s="20">
        <v>0</v>
      </c>
      <c r="H196" s="20">
        <v>0</v>
      </c>
      <c r="I196" s="20">
        <v>0</v>
      </c>
      <c r="J196" s="20">
        <v>0</v>
      </c>
      <c r="K196" s="20">
        <v>0</v>
      </c>
      <c r="L196" s="20">
        <v>1</v>
      </c>
      <c r="M196" s="20"/>
      <c r="N196" s="20"/>
      <c r="O196" s="20"/>
      <c r="P196" s="20"/>
      <c r="Q196" s="20"/>
      <c r="R196" s="20"/>
      <c r="S196" s="20"/>
      <c r="T196" s="20"/>
      <c r="U196" s="20"/>
      <c r="W196" s="4" t="s">
        <v>161</v>
      </c>
      <c r="X196" s="4">
        <v>2E-3</v>
      </c>
      <c r="Y196" s="4">
        <v>0.01</v>
      </c>
    </row>
    <row r="197" spans="1:25">
      <c r="B197" s="2" t="s">
        <v>162</v>
      </c>
      <c r="C197" s="20">
        <v>0</v>
      </c>
      <c r="D197" s="20">
        <v>0</v>
      </c>
      <c r="E197" s="20">
        <v>0</v>
      </c>
      <c r="F197" s="20">
        <v>0</v>
      </c>
      <c r="G197" s="20">
        <v>0</v>
      </c>
      <c r="H197" s="20">
        <v>0</v>
      </c>
      <c r="I197" s="20">
        <v>0</v>
      </c>
      <c r="J197" s="20">
        <v>0.25</v>
      </c>
      <c r="K197" s="20">
        <v>0</v>
      </c>
      <c r="L197" s="20">
        <v>0</v>
      </c>
      <c r="M197" s="20">
        <v>1</v>
      </c>
      <c r="N197" s="20"/>
      <c r="O197" s="20"/>
      <c r="P197" s="20"/>
      <c r="Q197" s="20"/>
      <c r="R197" s="20"/>
      <c r="S197" s="20"/>
      <c r="T197" s="20"/>
      <c r="U197" s="20"/>
      <c r="W197" s="4" t="s">
        <v>162</v>
      </c>
      <c r="X197" s="4">
        <v>2E-3</v>
      </c>
      <c r="Y197" s="4">
        <v>0.01</v>
      </c>
    </row>
    <row r="198" spans="1:25">
      <c r="B198" s="2" t="s">
        <v>163</v>
      </c>
      <c r="C198" s="20">
        <v>0</v>
      </c>
      <c r="D198" s="20">
        <v>0</v>
      </c>
      <c r="E198" s="20">
        <v>0</v>
      </c>
      <c r="F198" s="20">
        <v>0</v>
      </c>
      <c r="G198" s="20">
        <v>0</v>
      </c>
      <c r="H198" s="20">
        <v>0</v>
      </c>
      <c r="I198" s="20">
        <v>0</v>
      </c>
      <c r="J198" s="20">
        <v>0</v>
      </c>
      <c r="K198" s="20">
        <v>0</v>
      </c>
      <c r="L198" s="20">
        <v>0</v>
      </c>
      <c r="M198" s="20">
        <v>0</v>
      </c>
      <c r="N198" s="20">
        <v>1</v>
      </c>
      <c r="O198" s="20"/>
      <c r="P198" s="20"/>
      <c r="Q198" s="20"/>
      <c r="R198" s="20"/>
      <c r="S198" s="20"/>
      <c r="T198" s="20"/>
      <c r="U198" s="20"/>
      <c r="W198" s="4" t="s">
        <v>163</v>
      </c>
      <c r="X198" s="4">
        <v>1.2E-2</v>
      </c>
      <c r="Y198" s="4">
        <v>0.06</v>
      </c>
    </row>
    <row r="199" spans="1:25">
      <c r="B199" s="2" t="s">
        <v>164</v>
      </c>
      <c r="C199" s="20">
        <v>0</v>
      </c>
      <c r="D199" s="20">
        <v>0</v>
      </c>
      <c r="E199" s="20">
        <v>0</v>
      </c>
      <c r="F199" s="20">
        <v>0</v>
      </c>
      <c r="G199" s="20">
        <v>0</v>
      </c>
      <c r="H199" s="20">
        <v>0</v>
      </c>
      <c r="I199" s="20">
        <v>0</v>
      </c>
      <c r="J199" s="20">
        <v>0</v>
      </c>
      <c r="K199" s="20">
        <v>0</v>
      </c>
      <c r="L199" s="20">
        <v>0</v>
      </c>
      <c r="M199" s="20">
        <v>0</v>
      </c>
      <c r="N199" s="20">
        <v>0</v>
      </c>
      <c r="O199" s="20">
        <v>1</v>
      </c>
      <c r="P199" s="20"/>
      <c r="Q199" s="20"/>
      <c r="R199" s="20"/>
      <c r="S199" s="20"/>
      <c r="T199" s="20"/>
      <c r="U199" s="20"/>
      <c r="W199" s="4" t="s">
        <v>164</v>
      </c>
      <c r="X199" s="4">
        <v>0.04</v>
      </c>
      <c r="Y199" s="4">
        <v>0.2</v>
      </c>
    </row>
    <row r="200" spans="1:25">
      <c r="B200" s="2" t="s">
        <v>165</v>
      </c>
      <c r="C200" s="20">
        <v>0</v>
      </c>
      <c r="D200" s="20">
        <v>0</v>
      </c>
      <c r="E200" s="20">
        <v>0</v>
      </c>
      <c r="F200" s="20">
        <v>0</v>
      </c>
      <c r="G200" s="20">
        <v>0</v>
      </c>
      <c r="H200" s="20">
        <v>0</v>
      </c>
      <c r="I200" s="20">
        <v>0</v>
      </c>
      <c r="J200" s="20">
        <v>0</v>
      </c>
      <c r="K200" s="20">
        <v>0</v>
      </c>
      <c r="L200" s="20">
        <v>0</v>
      </c>
      <c r="M200" s="20">
        <v>0</v>
      </c>
      <c r="N200" s="20">
        <v>0</v>
      </c>
      <c r="O200" s="20">
        <v>0</v>
      </c>
      <c r="P200" s="20">
        <v>1</v>
      </c>
      <c r="Q200" s="20"/>
      <c r="R200" s="20"/>
      <c r="S200" s="20"/>
      <c r="T200" s="20"/>
      <c r="U200" s="20"/>
      <c r="W200" s="4" t="s">
        <v>165</v>
      </c>
      <c r="X200" s="4">
        <v>0.23799999999999999</v>
      </c>
      <c r="Y200" s="4">
        <v>1.19</v>
      </c>
    </row>
    <row r="201" spans="1:25">
      <c r="B201" s="2" t="s">
        <v>166</v>
      </c>
      <c r="C201" s="20">
        <v>0</v>
      </c>
      <c r="D201" s="20">
        <v>0</v>
      </c>
      <c r="E201" s="20">
        <v>0</v>
      </c>
      <c r="F201" s="20">
        <v>0</v>
      </c>
      <c r="G201" s="20">
        <v>0</v>
      </c>
      <c r="H201" s="20">
        <v>0</v>
      </c>
      <c r="I201" s="20">
        <v>0</v>
      </c>
      <c r="J201" s="20">
        <v>0</v>
      </c>
      <c r="K201" s="20">
        <v>0</v>
      </c>
      <c r="L201" s="20">
        <v>0</v>
      </c>
      <c r="M201" s="20">
        <v>0</v>
      </c>
      <c r="N201" s="20">
        <v>0</v>
      </c>
      <c r="O201" s="20">
        <v>0</v>
      </c>
      <c r="P201" s="20">
        <v>0</v>
      </c>
      <c r="Q201" s="20">
        <v>1</v>
      </c>
      <c r="R201" s="20"/>
      <c r="S201" s="20"/>
      <c r="T201" s="20"/>
      <c r="U201" s="20"/>
      <c r="W201" s="4" t="s">
        <v>166</v>
      </c>
      <c r="X201" s="4">
        <v>3.7999999999999999E-2</v>
      </c>
      <c r="Y201" s="4">
        <v>0.19</v>
      </c>
    </row>
    <row r="202" spans="1:25">
      <c r="B202" s="2" t="s">
        <v>167</v>
      </c>
      <c r="C202" s="20">
        <v>0</v>
      </c>
      <c r="D202" s="20">
        <v>0</v>
      </c>
      <c r="E202" s="20">
        <v>0</v>
      </c>
      <c r="F202" s="20">
        <v>0</v>
      </c>
      <c r="G202" s="20">
        <v>0</v>
      </c>
      <c r="H202" s="20">
        <v>0</v>
      </c>
      <c r="I202" s="20">
        <v>0</v>
      </c>
      <c r="J202" s="20">
        <v>0</v>
      </c>
      <c r="K202" s="20">
        <v>0</v>
      </c>
      <c r="L202" s="20">
        <v>0</v>
      </c>
      <c r="M202" s="20">
        <v>0</v>
      </c>
      <c r="N202" s="20">
        <v>0</v>
      </c>
      <c r="O202" s="20">
        <v>0</v>
      </c>
      <c r="P202" s="20">
        <v>0</v>
      </c>
      <c r="Q202" s="20">
        <v>0</v>
      </c>
      <c r="R202" s="20">
        <v>1</v>
      </c>
      <c r="S202" s="20"/>
      <c r="T202" s="20"/>
      <c r="U202" s="20"/>
      <c r="W202" s="4" t="s">
        <v>167</v>
      </c>
      <c r="X202" s="4">
        <v>0.25800000000000001</v>
      </c>
      <c r="Y202" s="4">
        <v>1.29</v>
      </c>
    </row>
    <row r="203" spans="1:25">
      <c r="B203" s="2" t="s">
        <v>168</v>
      </c>
      <c r="C203" s="20">
        <v>0</v>
      </c>
      <c r="D203" s="20">
        <v>0</v>
      </c>
      <c r="E203" s="20">
        <v>0</v>
      </c>
      <c r="F203" s="20">
        <v>0</v>
      </c>
      <c r="G203" s="20">
        <v>0</v>
      </c>
      <c r="H203" s="20">
        <v>0</v>
      </c>
      <c r="I203" s="20">
        <v>0</v>
      </c>
      <c r="J203" s="20">
        <v>0</v>
      </c>
      <c r="K203" s="20">
        <v>0</v>
      </c>
      <c r="L203" s="20">
        <v>0</v>
      </c>
      <c r="M203" s="20">
        <v>0</v>
      </c>
      <c r="N203" s="20">
        <v>0</v>
      </c>
      <c r="O203" s="20">
        <v>0</v>
      </c>
      <c r="P203" s="20">
        <v>0</v>
      </c>
      <c r="Q203" s="20">
        <v>0</v>
      </c>
      <c r="R203" s="20">
        <v>0</v>
      </c>
      <c r="S203" s="20">
        <v>1</v>
      </c>
      <c r="T203" s="20"/>
      <c r="U203" s="20"/>
      <c r="W203" s="4" t="s">
        <v>168</v>
      </c>
      <c r="X203" s="4">
        <v>0.376</v>
      </c>
      <c r="Y203" s="4">
        <v>1.88</v>
      </c>
    </row>
    <row r="204" spans="1:25">
      <c r="B204" s="2" t="s">
        <v>169</v>
      </c>
      <c r="C204" s="20">
        <v>0</v>
      </c>
      <c r="D204" s="20">
        <v>0</v>
      </c>
      <c r="E204" s="20">
        <v>0</v>
      </c>
      <c r="F204" s="20">
        <v>0</v>
      </c>
      <c r="G204" s="20">
        <v>0</v>
      </c>
      <c r="H204" s="20">
        <v>0</v>
      </c>
      <c r="I204" s="20">
        <v>0</v>
      </c>
      <c r="J204" s="20">
        <v>0</v>
      </c>
      <c r="K204" s="20">
        <v>0</v>
      </c>
      <c r="L204" s="20">
        <v>0</v>
      </c>
      <c r="M204" s="20">
        <v>0</v>
      </c>
      <c r="N204" s="20">
        <v>0</v>
      </c>
      <c r="O204" s="20">
        <v>0</v>
      </c>
      <c r="P204" s="20">
        <v>0</v>
      </c>
      <c r="Q204" s="20">
        <v>0</v>
      </c>
      <c r="R204" s="20">
        <v>0</v>
      </c>
      <c r="S204" s="20">
        <v>0</v>
      </c>
      <c r="T204" s="20">
        <v>1</v>
      </c>
      <c r="U204" s="20"/>
      <c r="W204" s="4" t="s">
        <v>169</v>
      </c>
      <c r="X204" s="4">
        <v>0.376</v>
      </c>
      <c r="Y204" s="4">
        <v>1.88</v>
      </c>
    </row>
    <row r="205" spans="1:25">
      <c r="B205" s="2" t="s">
        <v>170</v>
      </c>
      <c r="C205" s="21">
        <v>0</v>
      </c>
      <c r="D205" s="21">
        <v>0</v>
      </c>
      <c r="E205" s="21">
        <v>0</v>
      </c>
      <c r="F205" s="21">
        <v>0</v>
      </c>
      <c r="G205" s="21">
        <v>0</v>
      </c>
      <c r="H205" s="21">
        <v>0</v>
      </c>
      <c r="I205" s="21">
        <v>0</v>
      </c>
      <c r="J205" s="21">
        <v>0</v>
      </c>
      <c r="K205" s="21">
        <v>0</v>
      </c>
      <c r="L205" s="21">
        <v>0</v>
      </c>
      <c r="M205" s="21">
        <v>0</v>
      </c>
      <c r="N205" s="21">
        <v>0</v>
      </c>
      <c r="O205" s="21">
        <v>0</v>
      </c>
      <c r="P205" s="21">
        <v>0</v>
      </c>
      <c r="Q205" s="21">
        <v>0</v>
      </c>
      <c r="R205" s="21">
        <v>0</v>
      </c>
      <c r="S205" s="21">
        <v>0</v>
      </c>
      <c r="T205" s="21">
        <v>0</v>
      </c>
      <c r="U205" s="21">
        <v>1</v>
      </c>
      <c r="W205" s="7" t="s">
        <v>170</v>
      </c>
      <c r="X205" s="7">
        <v>0.376</v>
      </c>
      <c r="Y205" s="7">
        <v>1.88</v>
      </c>
    </row>
    <row r="208" spans="1:25" s="28" customFormat="1">
      <c r="A208" s="27" t="s">
        <v>177</v>
      </c>
    </row>
    <row r="210" spans="2:3">
      <c r="B210" s="1" t="s">
        <v>178</v>
      </c>
      <c r="C210" s="1" t="s">
        <v>179</v>
      </c>
    </row>
    <row r="211" spans="2:3">
      <c r="B211" s="42">
        <v>1</v>
      </c>
      <c r="C211" s="42">
        <v>5</v>
      </c>
    </row>
    <row r="212" spans="2:3">
      <c r="B212" s="39">
        <v>200</v>
      </c>
      <c r="C212" s="39">
        <v>17</v>
      </c>
    </row>
    <row r="213" spans="2:3">
      <c r="B213" s="39">
        <v>400</v>
      </c>
      <c r="C213" s="39">
        <v>18</v>
      </c>
    </row>
    <row r="214" spans="2:3">
      <c r="B214" s="39">
        <v>1000</v>
      </c>
      <c r="C214" s="39">
        <v>19</v>
      </c>
    </row>
    <row r="215" spans="2:3">
      <c r="B215" s="39">
        <v>1400</v>
      </c>
      <c r="C215" s="39">
        <v>7</v>
      </c>
    </row>
    <row r="216" spans="2:3">
      <c r="B216" s="39">
        <v>1700</v>
      </c>
      <c r="C216" s="39">
        <v>6</v>
      </c>
    </row>
    <row r="217" spans="2:3">
      <c r="B217" s="39">
        <v>1800</v>
      </c>
      <c r="C217" s="39">
        <v>1</v>
      </c>
    </row>
    <row r="218" spans="2:3">
      <c r="B218" s="39">
        <v>2000</v>
      </c>
      <c r="C218" s="39">
        <v>6</v>
      </c>
    </row>
    <row r="219" spans="2:3">
      <c r="B219" s="39">
        <v>2200</v>
      </c>
      <c r="C219" s="39">
        <v>19</v>
      </c>
    </row>
    <row r="220" spans="2:3">
      <c r="B220" s="39">
        <v>2500</v>
      </c>
      <c r="C220" s="39">
        <v>17</v>
      </c>
    </row>
    <row r="221" spans="2:3">
      <c r="B221" s="39">
        <v>2900</v>
      </c>
      <c r="C221" s="39">
        <v>3</v>
      </c>
    </row>
    <row r="222" spans="2:3">
      <c r="B222" s="39">
        <v>3600</v>
      </c>
      <c r="C222" s="39">
        <v>9</v>
      </c>
    </row>
    <row r="223" spans="2:3">
      <c r="B223" s="39">
        <v>3700</v>
      </c>
      <c r="C223" s="39">
        <v>3</v>
      </c>
    </row>
    <row r="224" spans="2:3">
      <c r="B224" s="39">
        <v>4000</v>
      </c>
      <c r="C224" s="39">
        <v>9</v>
      </c>
    </row>
    <row r="225" spans="2:3">
      <c r="B225" s="39">
        <v>4150</v>
      </c>
      <c r="C225" s="39">
        <v>3</v>
      </c>
    </row>
    <row r="226" spans="2:3">
      <c r="B226" s="39">
        <v>4300</v>
      </c>
      <c r="C226" s="39">
        <v>9</v>
      </c>
    </row>
    <row r="227" spans="2:3">
      <c r="B227" s="39">
        <v>4450</v>
      </c>
      <c r="C227" s="39">
        <v>3</v>
      </c>
    </row>
    <row r="228" spans="2:3">
      <c r="B228" s="39">
        <v>4900</v>
      </c>
      <c r="C228" s="39">
        <v>16</v>
      </c>
    </row>
    <row r="229" spans="2:3">
      <c r="B229" s="39">
        <v>5200</v>
      </c>
      <c r="C229" s="39">
        <v>15</v>
      </c>
    </row>
    <row r="230" spans="2:3">
      <c r="B230" s="39">
        <v>5300</v>
      </c>
      <c r="C230" s="39">
        <v>14</v>
      </c>
    </row>
    <row r="231" spans="2:3">
      <c r="B231" s="39">
        <v>5800</v>
      </c>
      <c r="C231" s="39">
        <v>16</v>
      </c>
    </row>
    <row r="232" spans="2:3">
      <c r="B232" s="39">
        <v>6000</v>
      </c>
      <c r="C232" s="39">
        <v>13</v>
      </c>
    </row>
    <row r="233" spans="2:3">
      <c r="B233" s="39">
        <v>6100</v>
      </c>
      <c r="C233" s="39">
        <v>14</v>
      </c>
    </row>
    <row r="234" spans="2:3">
      <c r="B234" s="39">
        <v>6200</v>
      </c>
      <c r="C234" s="39">
        <v>16</v>
      </c>
    </row>
    <row r="235" spans="2:3">
      <c r="B235" s="39">
        <v>6300</v>
      </c>
      <c r="C235" s="39">
        <v>12</v>
      </c>
    </row>
    <row r="236" spans="2:3">
      <c r="B236" s="39">
        <v>6800</v>
      </c>
      <c r="C236" s="39">
        <v>11</v>
      </c>
    </row>
    <row r="237" spans="2:3">
      <c r="B237" s="39">
        <v>6900</v>
      </c>
      <c r="C237" s="39">
        <v>2</v>
      </c>
    </row>
    <row r="238" spans="2:3">
      <c r="B238" s="39">
        <v>7100</v>
      </c>
      <c r="C238" s="39">
        <v>8</v>
      </c>
    </row>
    <row r="239" spans="2:3">
      <c r="B239" s="39">
        <v>7200</v>
      </c>
      <c r="C239" s="39">
        <v>10</v>
      </c>
    </row>
    <row r="240" spans="2:3">
      <c r="B240" s="39">
        <v>7400</v>
      </c>
      <c r="C240" s="39">
        <v>8</v>
      </c>
    </row>
    <row r="241" spans="2:4">
      <c r="B241" s="39">
        <v>7600</v>
      </c>
      <c r="C241" s="39">
        <v>11</v>
      </c>
    </row>
    <row r="242" spans="2:4">
      <c r="B242" s="39">
        <v>7700</v>
      </c>
      <c r="C242" s="39">
        <v>8</v>
      </c>
    </row>
    <row r="243" spans="2:4">
      <c r="B243" s="39">
        <v>8100</v>
      </c>
      <c r="C243" s="39">
        <v>2</v>
      </c>
    </row>
    <row r="244" spans="2:4">
      <c r="B244" s="40">
        <v>9000</v>
      </c>
      <c r="C244" s="40">
        <v>2</v>
      </c>
      <c r="D244" s="41" t="s">
        <v>180</v>
      </c>
    </row>
    <row r="245" spans="2:4">
      <c r="B245" s="39">
        <v>9300</v>
      </c>
      <c r="C245" s="39">
        <v>4</v>
      </c>
    </row>
    <row r="246" spans="2:4">
      <c r="B246" s="39">
        <v>9750</v>
      </c>
      <c r="C246" s="39">
        <v>14</v>
      </c>
    </row>
    <row r="247" spans="2:4">
      <c r="B247" s="39">
        <v>9800</v>
      </c>
      <c r="C247" s="39">
        <v>4</v>
      </c>
    </row>
    <row r="248" spans="2:4">
      <c r="B248" s="39">
        <v>9999</v>
      </c>
      <c r="C248" s="39">
        <v>4</v>
      </c>
    </row>
    <row r="249" spans="2:4">
      <c r="B249" s="44">
        <v>10000</v>
      </c>
      <c r="C249" s="44">
        <v>4</v>
      </c>
      <c r="D249" s="41" t="s">
        <v>180</v>
      </c>
    </row>
  </sheetData>
  <hyperlinks>
    <hyperlink ref="B7" location="metadata!A14" display="Factor Based Charges" xr:uid="{D876F6B9-720C-4B46-A5AF-4CD9E9877BE5}"/>
    <hyperlink ref="B8" location="metadata!A40" display="Premium and Reserve Risk Factors" xr:uid="{AE9F7986-E45F-4674-8D4C-8006ACDD3B07}"/>
    <hyperlink ref="B9" location="metadata!A85" display="Spread Risk Charges" xr:uid="{3C7D190F-2AE9-4717-84BA-6F748F2794E8}"/>
    <hyperlink ref="B10" location="metadata!A109" display="Interest Rate Curves Shocks" xr:uid="{3DED220D-6B7D-4B17-9D5D-9DC388877DBA}"/>
    <hyperlink ref="B11" location="metadata!A146" display="Earthquake Charges" xr:uid="{B5AA1548-AAC4-4EE6-B4BE-6D4D7F1375A4}"/>
    <hyperlink ref="B12" location="metadata!A182" display="Hail Charges" xr:uid="{CF6CB5E6-1B7E-4333-BA8F-9B15B647621A}"/>
    <hyperlink ref="B13" location="metadata!A208" display="Zone Mapping" xr:uid="{E2113ED5-1940-4DBD-B91F-E6ABF444BC01}"/>
  </hyperlinks>
  <pageMargins left="0.7" right="0.7" top="0.75" bottom="0.75" header="0.3" footer="0.3"/>
  <headerFooter>
    <oddFooter>&amp;C_x000D_&amp;1#&amp;"Calibri"&amp;10&amp;K000000 Control Disclosure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8AB0D-55E9-4DA5-80F2-48481FC594B7}">
  <sheetPr codeName="wFunctions"/>
  <dimension ref="B4:L17"/>
  <sheetViews>
    <sheetView workbookViewId="0"/>
  </sheetViews>
  <sheetFormatPr defaultRowHeight="14.5"/>
  <cols>
    <col min="1" max="1" width="1.6328125" customWidth="1"/>
    <col min="2" max="2" width="14.08984375" bestFit="1" customWidth="1"/>
    <col min="3" max="3" width="61.90625" bestFit="1" customWidth="1"/>
    <col min="4" max="4" width="16" bestFit="1" customWidth="1"/>
    <col min="5" max="5" width="55.1796875" bestFit="1" customWidth="1"/>
    <col min="6" max="6" width="31.6328125" bestFit="1" customWidth="1"/>
    <col min="7" max="7" width="58.90625" bestFit="1" customWidth="1"/>
    <col min="8" max="8" width="42.81640625" bestFit="1" customWidth="1"/>
    <col min="9" max="9" width="52.6328125" bestFit="1" customWidth="1"/>
    <col min="10" max="10" width="51.6328125" bestFit="1" customWidth="1"/>
    <col min="11" max="11" width="45" bestFit="1" customWidth="1"/>
    <col min="12" max="12" width="33.90625" bestFit="1" customWidth="1"/>
  </cols>
  <sheetData>
    <row r="4" spans="2:12">
      <c r="B4" s="1" t="s">
        <v>122</v>
      </c>
      <c r="C4" s="1" t="s">
        <v>131</v>
      </c>
      <c r="D4" s="1" t="s">
        <v>123</v>
      </c>
      <c r="E4" s="1" t="s">
        <v>187</v>
      </c>
      <c r="F4" s="1" t="s">
        <v>124</v>
      </c>
      <c r="G4" s="1" t="s">
        <v>125</v>
      </c>
      <c r="H4" s="1" t="s">
        <v>126</v>
      </c>
      <c r="I4" s="1" t="s">
        <v>127</v>
      </c>
      <c r="J4" s="1" t="s">
        <v>128</v>
      </c>
      <c r="K4" s="1" t="s">
        <v>129</v>
      </c>
      <c r="L4" s="1" t="s">
        <v>130</v>
      </c>
    </row>
    <row r="5" spans="2:12">
      <c r="B5" s="3" t="s">
        <v>132</v>
      </c>
      <c r="C5" s="3" t="s">
        <v>182</v>
      </c>
      <c r="D5" s="3" t="s">
        <v>133</v>
      </c>
      <c r="E5" s="3" t="s">
        <v>188</v>
      </c>
      <c r="F5" s="3" t="s">
        <v>134</v>
      </c>
      <c r="G5" s="3" t="s">
        <v>135</v>
      </c>
      <c r="H5" s="3" t="s">
        <v>136</v>
      </c>
      <c r="I5" s="3"/>
      <c r="J5" s="3"/>
      <c r="K5" s="3"/>
      <c r="L5" s="3"/>
    </row>
    <row r="6" spans="2:12"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spans="2:12">
      <c r="B7" s="4"/>
      <c r="C7" s="4"/>
      <c r="D7" s="4"/>
      <c r="E7" s="4"/>
      <c r="F7" s="4"/>
      <c r="G7" s="4"/>
      <c r="H7" s="4"/>
      <c r="I7" s="4"/>
      <c r="J7" s="4"/>
      <c r="K7" s="4"/>
      <c r="L7" s="4"/>
    </row>
    <row r="8" spans="2:12">
      <c r="B8" s="4"/>
      <c r="C8" s="4"/>
      <c r="D8" s="4"/>
      <c r="E8" s="4"/>
      <c r="F8" s="4"/>
      <c r="G8" s="4"/>
      <c r="H8" s="4"/>
      <c r="I8" s="4"/>
      <c r="J8" s="4"/>
      <c r="K8" s="4"/>
      <c r="L8" s="4"/>
    </row>
    <row r="9" spans="2:12">
      <c r="B9" s="4"/>
      <c r="C9" s="4"/>
      <c r="D9" s="4"/>
      <c r="E9" s="4"/>
      <c r="F9" s="4"/>
      <c r="G9" s="4"/>
      <c r="H9" s="4"/>
      <c r="I9" s="4"/>
      <c r="J9" s="4"/>
      <c r="K9" s="4"/>
      <c r="L9" s="4"/>
    </row>
    <row r="10" spans="2:12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</row>
    <row r="11" spans="2:12"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2" spans="2:12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</row>
    <row r="13" spans="2:12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</row>
    <row r="14" spans="2:12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spans="2:12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 spans="2:12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</row>
    <row r="17" spans="2:12"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21</vt:i4>
      </vt:variant>
    </vt:vector>
  </HeadingPairs>
  <TitlesOfParts>
    <vt:vector size="40" baseType="lpstr">
      <vt:lpstr>NOTICE</vt:lpstr>
      <vt:lpstr>LICENSE</vt:lpstr>
      <vt:lpstr>Index</vt:lpstr>
      <vt:lpstr>Notes</vt:lpstr>
      <vt:lpstr>Inputs &gt;&gt;&gt;</vt:lpstr>
      <vt:lpstr>prem_res</vt:lpstr>
      <vt:lpstr>Outputs &gt;&gt;&gt;</vt:lpstr>
      <vt:lpstr>PremRes</vt:lpstr>
      <vt:lpstr>PremRes Proof &gt;&gt;&gt;</vt:lpstr>
      <vt:lpstr>Correlation Matrix</vt:lpstr>
      <vt:lpstr>Calculated Correlation Matrix</vt:lpstr>
      <vt:lpstr>PremRes Replication</vt:lpstr>
      <vt:lpstr>Summary</vt:lpstr>
      <vt:lpstr>Example Profile Output&gt;&gt;&gt;</vt:lpstr>
      <vt:lpstr>Profile_20260119_233003</vt:lpstr>
      <vt:lpstr>Profile_20260119_235016</vt:lpstr>
      <vt:lpstr>Metadata &gt;&gt;&gt;</vt:lpstr>
      <vt:lpstr>metadata</vt:lpstr>
      <vt:lpstr>functions</vt:lpstr>
      <vt:lpstr>rCorrelation</vt:lpstr>
      <vt:lpstr>rEQCommCorr</vt:lpstr>
      <vt:lpstr>rEQContCorr</vt:lpstr>
      <vt:lpstr>rEQCoverCharge</vt:lpstr>
      <vt:lpstr>rEQCoverCorr</vt:lpstr>
      <vt:lpstr>rEQEngCorr</vt:lpstr>
      <vt:lpstr>rEQMotorCorr</vt:lpstr>
      <vt:lpstr>rEQResCorr</vt:lpstr>
      <vt:lpstr>rEQZoneCoverCharge</vt:lpstr>
      <vt:lpstr>rFactorCharges</vt:lpstr>
      <vt:lpstr>rFactorNPCharges</vt:lpstr>
      <vt:lpstr>rFunc</vt:lpstr>
      <vt:lpstr>rHailCorr</vt:lpstr>
      <vt:lpstr>rHailZoneCoverCharge</vt:lpstr>
      <vt:lpstr>rNominalShock</vt:lpstr>
      <vt:lpstr>rPremRes</vt:lpstr>
      <vt:lpstr>rRealShock</vt:lpstr>
      <vt:lpstr>rShare</vt:lpstr>
      <vt:lpstr>rSpread</vt:lpstr>
      <vt:lpstr>rStdDev</vt:lpstr>
      <vt:lpstr>rZoneMapping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Clive Hogarth</dc:creator>
  <cp:lastModifiedBy>Clive Hogarth</cp:lastModifiedBy>
  <dcterms:created xsi:type="dcterms:W3CDTF">2025-09-12T19:23:35Z</dcterms:created>
  <dcterms:modified xsi:type="dcterms:W3CDTF">2026-01-20T20:47:43Z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48d4591-3dfa-47bd-a0fe-27cfbf2a5e17_Enabled">
    <vt:lpwstr>true</vt:lpwstr>
  </property>
  <property fmtid="{D5CDD505-2E9C-101B-9397-08002B2CF9AE}" pid="3" name="MSIP_Label_248d4591-3dfa-47bd-a0fe-27cfbf2a5e17_SetDate">
    <vt:lpwstr>2025-09-12T21:11:33Z</vt:lpwstr>
  </property>
  <property fmtid="{D5CDD505-2E9C-101B-9397-08002B2CF9AE}" pid="4" name="MSIP_Label_248d4591-3dfa-47bd-a0fe-27cfbf2a5e17_Method">
    <vt:lpwstr>Standard</vt:lpwstr>
  </property>
  <property fmtid="{D5CDD505-2E9C-101B-9397-08002B2CF9AE}" pid="5" name="MSIP_Label_248d4591-3dfa-47bd-a0fe-27cfbf2a5e17_Name">
    <vt:lpwstr>Control Disclosure</vt:lpwstr>
  </property>
  <property fmtid="{D5CDD505-2E9C-101B-9397-08002B2CF9AE}" pid="6" name="MSIP_Label_248d4591-3dfa-47bd-a0fe-27cfbf2a5e17_SiteId">
    <vt:lpwstr>9cea85f3-a573-4c2a-8071-9288b3c683b5</vt:lpwstr>
  </property>
  <property fmtid="{D5CDD505-2E9C-101B-9397-08002B2CF9AE}" pid="7" name="MSIP_Label_248d4591-3dfa-47bd-a0fe-27cfbf2a5e17_ActionId">
    <vt:lpwstr>b2fb5a28-217b-457e-bbd2-023626c287c3</vt:lpwstr>
  </property>
  <property fmtid="{D5CDD505-2E9C-101B-9397-08002B2CF9AE}" pid="8" name="MSIP_Label_248d4591-3dfa-47bd-a0fe-27cfbf2a5e17_ContentBits">
    <vt:lpwstr>2</vt:lpwstr>
  </property>
  <property fmtid="{D5CDD505-2E9C-101B-9397-08002B2CF9AE}" pid="9" name="MSIP_Label_248d4591-3dfa-47bd-a0fe-27cfbf2a5e17_Tag">
    <vt:lpwstr>10, 3, 0, 1</vt:lpwstr>
  </property>
</Properties>
</file>